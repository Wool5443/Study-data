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6b4cda2ae4401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udget" sheetId="1" r:id="Rb7d99bde9a924aa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164" formatCode="#,##0&quot; ₽&quot;"/>
    <x:numFmt numFmtId="165" formatCode="0.0%"/>
  </x:numFmts>
  <x:fonts count="2">
    <x:font>
      <x:sz val="11"/>
      <x:color theme="1"/>
      <x:name val="Calibri"/>
      <x:family val="2"/>
      <x:scheme val="minor"/>
    </x:font>
    <x:font>
      <x:b/>
      <x:color rgb="00FFFFFF"/>
    </x:font>
  </x:fonts>
  <x:fills count="3">
    <x:fill>
      <x:patternFill patternType="none"/>
    </x:fill>
    <x:fill>
      <x:patternFill patternType="gray125"/>
    </x:fill>
    <x:fill>
      <x:patternFill patternType="solid">
        <x:fgColor rgb="001F4E79"/>
      </x:patternFill>
    </x:fill>
  </x:fills>
  <x:borders count="2">
    <x:border>
      <x:left/>
      <x:right/>
      <x:top/>
      <x:bottom/>
      <x:diagonal/>
    </x:border>
    <x:border>
      <x:left style="thin">
        <x:color rgb="00D9D9D9"/>
      </x:left>
      <x:right style="thin">
        <x:color rgb="00D9D9D9"/>
      </x:right>
      <x:top style="thin">
        <x:color rgb="00D9D9D9"/>
      </x:top>
      <x:bottom style="thin">
        <x:color rgb="00D9D9D9"/>
      </x:bottom>
    </x:border>
  </x:borders>
  <x:cellStyleXfs count="1">
    <x:xf numFmtId="0" fontId="0" fillId="0" borderId="0"/>
  </x:cellStyleXfs>
  <x:cellXfs count="6">
    <x:xf numFmtId="0" fontId="0" fillId="0" borderId="0" xfId="0"/>
    <x:xf numFmtId="0" fontId="1" fillId="2" borderId="1" xfId="0" applyAlignment="1">
      <x:alignment horizontal="center" vertical="center" wrapText="1"/>
    </x:xf>
    <x:xf numFmtId="0" fontId="0" fillId="0" borderId="1" xfId="0" applyAlignment="1">
      <x:alignment vertical="top"/>
    </x:xf>
    <x:xf numFmtId="0" fontId="0" fillId="0" borderId="1" xfId="0" applyAlignment="1">
      <x:alignment vertical="top" wrapText="1"/>
    </x:xf>
    <x:xf numFmtId="164" fontId="0" fillId="0" borderId="1" xfId="0" applyAlignment="1">
      <x:alignment vertical="top"/>
    </x:xf>
    <x:xf numFmtId="165" fontId="0" fillId="0" borderId="1" xfId="0" applyAlignment="1">
      <x:alignment vertical="top"/>
    </x:xf>
  </x:cellXfs>
  <x:cellStyles count="1">
    <x:cellStyle name="Normal" xfId="0"/>
  </x:cellStyles>
  <x:dxfs count="2">
    <x:dxf>
      <x:font>
        <x:b/>
        <x:color rgb="009C0006"/>
      </x:font>
      <x:fill>
        <x:patternFill>
          <x:bgColor rgb="00FFC7CE"/>
        </x:patternFill>
      </x:fill>
    </x:dxf>
    <x:dxf>
      <x:fill>
        <x:patternFill>
          <x:bgColor rgb="00FFEB9C"/>
        </x:patternFill>
      </x:fill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63b33fde2984100" /><Relationship Type="http://schemas.openxmlformats.org/officeDocument/2006/relationships/theme" Target="/xl/theme/theme1.xml" Id="Re4cdaee571814d9d" /><Relationship Type="http://schemas.openxmlformats.org/officeDocument/2006/relationships/sharedStrings" Target="/xl/sharedStrings.xml" Id="R142cb4a79dbc45df" /><Relationship Type="http://schemas.openxmlformats.org/officeDocument/2006/relationships/worksheet" Target="/xl/worksheets/sheet1.xml" Id="Rb7d99bde9a924aac" /></Relationships>
</file>

<file path=xl/tables/table1.xml><?xml version="1.0" encoding="utf-8"?>
<x:table xmlns:x="http://schemas.openxmlformats.org/spreadsheetml/2006/main" id="1" name="BudgetTable" displayName="BudgetTable" ref="A1:O301" headerRowCount="1">
  <x:autoFilter ref="A1:O301"/>
  <x:tableColumns count="15">
    <x:tableColumn id="1" name="LineID"/>
    <x:tableColumn id="2" name="Project"/>
    <x:tableColumn id="3" name="Month"/>
    <x:tableColumn id="4" name="MonthStatus"/>
    <x:tableColumn id="5" name="Category"/>
    <x:tableColumn id="6" name="Item"/>
    <x:tableColumn id="7" name="Owner"/>
    <x:tableColumn id="8" name="Planned_RUB"/>
    <x:tableColumn id="9" name="Actual_RUB"/>
    <x:tableColumn id="10" name="Variance_RUB"/>
    <x:tableColumn id="11" name="Variance_Pct"/>
    <x:tableColumn id="12" name="LineStatus"/>
    <x:tableColumn id="13" name="BudgetFlag"/>
    <x:tableColumn id="14" name="InvoiceReceived"/>
    <x:tableColumn id="15" name="Comment"/>
  </x:tableColumns>
  <x:tableStyleInfo name="TableStyleMedium9" showRowStripes="1"/>
</x: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f38a86e556c48ff" /></Relationships>
</file>

<file path=xl/worksheets/sheet1.xml><?xml version="1.0" encoding="utf-8"?>
<x:worksheet xmlns:x="http://schemas.openxmlformats.org/spreadsheetml/2006/main">
  <x:sheetFormatPr defaultRowHeight="15"/>
  <x:cols>
    <x:col min="1" max="1" width="7" customWidth="1"/>
    <x:col min="2" max="2" width="10" customWidth="1"/>
    <x:col min="3" max="3" width="9" customWidth="1"/>
    <x:col min="4" max="4" width="11" customWidth="1"/>
    <x:col min="5" max="5" width="14" customWidth="1"/>
    <x:col min="6" max="6" width="32" customWidth="1"/>
    <x:col min="7" max="7" width="12" customWidth="1"/>
    <x:col min="8" max="8" width="13" customWidth="1"/>
    <x:col min="9" max="9" width="12" customWidth="1"/>
    <x:col min="10" max="10" width="13" customWidth="1"/>
    <x:col min="11" max="11" width="13" customWidth="1"/>
    <x:col min="12" max="12" width="11" customWidth="1"/>
    <x:col min="13" max="13" width="11" customWidth="1"/>
    <x:col min="14" max="14" width="14" customWidth="1"/>
    <x:col min="15" max="15" width="40" customWidth="1"/>
  </x:cols>
  <x:sheetData>
    <x:row r="1">
      <x:c r="A1" s="1" t="inlineStr">
        <x:is>
          <x:t xml:space="preserve">LineID</x:t>
        </x:is>
      </x:c>
      <x:c r="B1" s="1" t="inlineStr">
        <x:is>
          <x:t xml:space="preserve">Project</x:t>
        </x:is>
      </x:c>
      <x:c r="C1" s="1" t="inlineStr">
        <x:is>
          <x:t xml:space="preserve">Month</x:t>
        </x:is>
      </x:c>
      <x:c r="D1" s="1" t="inlineStr">
        <x:is>
          <x:t xml:space="preserve">MonthStatus</x:t>
        </x:is>
      </x:c>
      <x:c r="E1" s="1" t="inlineStr">
        <x:is>
          <x:t xml:space="preserve">Category</x:t>
        </x:is>
      </x:c>
      <x:c r="F1" s="1" t="inlineStr">
        <x:is>
          <x:t xml:space="preserve">Item</x:t>
        </x:is>
      </x:c>
      <x:c r="G1" s="1" t="inlineStr">
        <x:is>
          <x:t xml:space="preserve">Owner</x:t>
        </x:is>
      </x:c>
      <x:c r="H1" s="1" t="inlineStr">
        <x:is>
          <x:t xml:space="preserve">Planned_RUB</x:t>
        </x:is>
      </x:c>
      <x:c r="I1" s="1" t="inlineStr">
        <x:is>
          <x:t xml:space="preserve">Actual_RUB</x:t>
        </x:is>
      </x:c>
      <x:c r="J1" s="1" t="inlineStr">
        <x:is>
          <x:t xml:space="preserve">Variance_RUB</x:t>
        </x:is>
      </x:c>
      <x:c r="K1" s="1" t="inlineStr">
        <x:is>
          <x:t xml:space="preserve">Variance_Pct</x:t>
        </x:is>
      </x:c>
      <x:c r="L1" s="1" t="inlineStr">
        <x:is>
          <x:t xml:space="preserve">LineStatus</x:t>
        </x:is>
      </x:c>
      <x:c r="M1" s="1" t="inlineStr">
        <x:is>
          <x:t xml:space="preserve">BudgetFlag</x:t>
        </x:is>
      </x:c>
      <x:c r="N1" s="1" t="inlineStr">
        <x:is>
          <x:t xml:space="preserve">InvoiceReceived</x:t>
        </x:is>
      </x:c>
      <x:c r="O1" s="1" t="inlineStr">
        <x:is>
          <x:t xml:space="preserve">Comment</x:t>
        </x:is>
      </x:c>
    </x:row>
    <x:row r="2">
      <x:c r="A2" s="2" t="n">
        <x:v>1</x:v>
      </x:c>
      <x:c r="B2" s="2" t="inlineStr">
        <x:is>
          <x:t xml:space="preserve">PRJ-301</x:t>
        </x:is>
      </x:c>
      <x:c r="C2" s="2" t="inlineStr">
        <x:is>
          <x:t xml:space="preserve">2025-01</x:t>
        </x:is>
      </x:c>
      <x:c r="D2" s="2" t="inlineStr">
        <x:is>
          <x:t xml:space="preserve">Closed</x:t>
        </x:is>
      </x:c>
      <x:c r="E2" s="3" t="inlineStr">
        <x:is>
          <x:t xml:space="preserve">Облако</x:t>
        </x:is>
      </x:c>
      <x:c r="F2" s="3" t="inlineStr">
        <x:is>
          <x:t xml:space="preserve">Облако: VM (compute)</x:t>
        </x:is>
      </x:c>
      <x:c r="G2" s="2" t="inlineStr">
        <x:is>
          <x:t xml:space="preserve">Team Lead</x:t>
        </x:is>
      </x:c>
      <x:c r="H2" s="4" t="n">
        <x:v>38100</x:v>
      </x:c>
      <x:c r="I2" s="4" t="n">
        <x:v>35000</x:v>
      </x:c>
      <x:c r="J2" s="4">
        <x:f>IF($I2="","",$I2-$H2)</x:f>
        <x:v>-3100</x:v>
      </x:c>
      <x:c r="K2" s="5">
        <x:f>IF($I2="","",($I2-$H2)/$H2)</x:f>
        <x:v>-0.08136482939632546</x:v>
      </x:c>
      <x:c r="L2" s="2" t="str">
        <x:f>IF($I2="","Planned",IF($I2&gt;$H2,"Over",IF($I2&lt;$H2,"Under","On plan")))</x:f>
        <x:v>Under</x:v>
      </x:c>
      <x:c r="M2" s="2">
        <x:f>IF($I2="","",IF(AND($J2&gt;50000,$K2&gt;0.2),"CRITICAL",""))</x:f>
      </x:c>
      <x:c r="N2" s="2" t="inlineStr">
        <x:is>
          <x:t xml:space="preserve">Yes</x:t>
        </x:is>
      </x:c>
      <x:c r="O2" s="3" t="inlineStr">
        <x:is>
          <x:t xml:space="preserve">экономия: оптимизировали ресурсы и выключили лишние окружения</x:t>
        </x:is>
      </x:c>
    </x:row>
    <x:row r="3">
      <x:c r="A3" s="2" t="n">
        <x:v>2</x:v>
      </x:c>
      <x:c r="B3" s="2" t="inlineStr">
        <x:is>
          <x:t xml:space="preserve">PRJ-301</x:t>
        </x:is>
      </x:c>
      <x:c r="C3" s="2" t="inlineStr">
        <x:is>
          <x:t xml:space="preserve">2025-01</x:t>
        </x:is>
      </x:c>
      <x:c r="D3" s="2" t="inlineStr">
        <x:is>
          <x:t xml:space="preserve">Closed</x:t>
        </x:is>
      </x:c>
      <x:c r="E3" s="3" t="inlineStr">
        <x:is>
          <x:t xml:space="preserve">Облако</x:t>
        </x:is>
      </x:c>
      <x:c r="F3" s="3" t="inlineStr">
        <x:is>
          <x:t xml:space="preserve">Облако: Storage (object)</x:t>
        </x:is>
      </x:c>
      <x:c r="G3" s="2" t="inlineStr">
        <x:is>
          <x:t xml:space="preserve">Backend</x:t>
        </x:is>
      </x:c>
      <x:c r="H3" s="4" t="n">
        <x:v>22700</x:v>
      </x:c>
      <x:c r="I3" s="4" t="n">
        <x:v>26700</x:v>
      </x:c>
      <x:c r="J3" s="4">
        <x:f>IF($I3="","",$I3-$H3)</x:f>
        <x:v>4000</x:v>
      </x:c>
      <x:c r="K3" s="5">
        <x:f>IF($I3="","",($I3-$H3)/$H3)</x:f>
        <x:v>0.1762114537444934</x:v>
      </x:c>
      <x:c r="L3" s="2" t="str">
        <x:f>IF($I3="","Planned",IF($I3&gt;$H3,"Over",IF($I3&lt;$H3,"Under","On plan")))</x:f>
        <x:v>Over</x:v>
      </x:c>
      <x:c r="M3" s="2">
        <x:f>IF($I3="","",IF(AND($J3&gt;50000,$K3&gt;0.2),"CRITICAL",""))</x:f>
      </x:c>
      <x:c r="N3" s="2" t="inlineStr">
        <x:is>
          <x:t xml:space="preserve">Yes</x:t>
        </x:is>
      </x:c>
      <x:c r="O3" s="3" t="inlineStr">
        <x:is>
          <x:t xml:space="preserve">перерасход: выросла нагрузка, подняли лимиты ресурсов</x:t>
        </x:is>
      </x:c>
    </x:row>
    <x:row r="4">
      <x:c r="A4" s="2" t="n">
        <x:v>3</x:v>
      </x:c>
      <x:c r="B4" s="2" t="inlineStr">
        <x:is>
          <x:t xml:space="preserve">PRJ-301</x:t>
        </x:is>
      </x:c>
      <x:c r="C4" s="2" t="inlineStr">
        <x:is>
          <x:t xml:space="preserve">2025-01</x:t>
        </x:is>
      </x:c>
      <x:c r="D4" s="2" t="inlineStr">
        <x:is>
          <x:t xml:space="preserve">Closed</x:t>
        </x:is>
      </x:c>
      <x:c r="E4" s="3" t="inlineStr">
        <x:is>
          <x:t xml:space="preserve">Облако</x:t>
        </x:is>
      </x:c>
      <x:c r="F4" s="3" t="inlineStr">
        <x:is>
          <x:t xml:space="preserve">Облако: DB managed</x:t>
        </x:is>
      </x:c>
      <x:c r="G4" s="2" t="inlineStr">
        <x:is>
          <x:t xml:space="preserve">Backend</x:t>
        </x:is>
      </x:c>
      <x:c r="H4" s="4" t="n">
        <x:v>12500</x:v>
      </x:c>
      <x:c r="I4" s="4" t="n">
        <x:v>12700</x:v>
      </x:c>
      <x:c r="J4" s="4">
        <x:f>IF($I4="","",$I4-$H4)</x:f>
        <x:v>200</x:v>
      </x:c>
      <x:c r="K4" s="5">
        <x:f>IF($I4="","",($I4-$H4)/$H4)</x:f>
        <x:v>0.016</x:v>
      </x:c>
      <x:c r="L4" s="2" t="str">
        <x:f>IF($I4="","Planned",IF($I4&gt;$H4,"Over",IF($I4&lt;$H4,"Under","On plan")))</x:f>
        <x:v>Over</x:v>
      </x:c>
      <x:c r="M4" s="2">
        <x:f>IF($I4="","",IF(AND($J4&gt;50000,$K4&gt;0.2),"CRITICAL",""))</x:f>
      </x:c>
      <x:c r="N4" s="2" t="inlineStr">
        <x:is>
          <x:t xml:space="preserve">Yes</x:t>
        </x:is>
      </x:c>
      <x:c r="O4" s="3" t="inlineStr">
        <x:is>
          <x:t xml:space="preserve">по плану: фактическая сумма соответствует договору/тарифу</x:t>
        </x:is>
      </x:c>
    </x:row>
    <x:row r="5">
      <x:c r="A5" s="2" t="n">
        <x:v>4</x:v>
      </x:c>
      <x:c r="B5" s="2" t="inlineStr">
        <x:is>
          <x:t xml:space="preserve">PRJ-301</x:t>
        </x:is>
      </x:c>
      <x:c r="C5" s="2" t="inlineStr">
        <x:is>
          <x:t xml:space="preserve">2025-01</x:t>
        </x:is>
      </x:c>
      <x:c r="D5" s="2" t="inlineStr">
        <x:is>
          <x:t xml:space="preserve">Closed</x:t>
        </x:is>
      </x:c>
      <x:c r="E5" s="3" t="inlineStr">
        <x:is>
          <x:t xml:space="preserve">Облако</x:t>
        </x:is>
      </x:c>
      <x:c r="F5" s="3" t="inlineStr">
        <x:is>
          <x:t xml:space="preserve">Облако: CDN/Traffic</x:t>
        </x:is>
      </x:c>
      <x:c r="G5" s="2" t="inlineStr">
        <x:is>
          <x:t xml:space="preserve">DevOps</x:t>
        </x:is>
      </x:c>
      <x:c r="H5" s="4" t="n">
        <x:v>12900</x:v>
      </x:c>
      <x:c r="I5" s="4" t="n">
        <x:v>13200</x:v>
      </x:c>
      <x:c r="J5" s="4">
        <x:f>IF($I5="","",$I5-$H5)</x:f>
        <x:v>300</x:v>
      </x:c>
      <x:c r="K5" s="5">
        <x:f>IF($I5="","",($I5-$H5)/$H5)</x:f>
        <x:v>0.023255813953488372</x:v>
      </x:c>
      <x:c r="L5" s="2" t="str">
        <x:f>IF($I5="","Planned",IF($I5&gt;$H5,"Over",IF($I5&lt;$H5,"Under","On plan")))</x:f>
        <x:v>Over</x:v>
      </x:c>
      <x:c r="M5" s="2">
        <x:f>IF($I5="","",IF(AND($J5&gt;50000,$K5&gt;0.2),"CRITICAL",""))</x:f>
      </x:c>
      <x:c r="N5" s="2" t="inlineStr">
        <x:is>
          <x:t xml:space="preserve">Yes</x:t>
        </x:is>
      </x:c>
      <x:c r="O5" s="3" t="inlineStr">
        <x:is>
          <x:t xml:space="preserve">по плану: закрыли месяц без существенных отклонений</x:t>
        </x:is>
      </x:c>
    </x:row>
    <x:row r="6">
      <x:c r="A6" s="2" t="n">
        <x:v>5</x:v>
      </x:c>
      <x:c r="B6" s="2" t="inlineStr">
        <x:is>
          <x:t xml:space="preserve">PRJ-301</x:t>
        </x:is>
      </x:c>
      <x:c r="C6" s="2" t="inlineStr">
        <x:is>
          <x:t xml:space="preserve">2025-01</x:t>
        </x:is>
      </x:c>
      <x:c r="D6" s="2" t="inlineStr">
        <x:is>
          <x:t xml:space="preserve">Closed</x:t>
        </x:is>
      </x:c>
      <x:c r="E6" s="3" t="inlineStr">
        <x:is>
          <x:t xml:space="preserve">Инфраструктура</x:t>
        </x:is>
      </x:c>
      <x:c r="F6" s="3" t="inlineStr">
        <x:is>
          <x:t xml:space="preserve">CI/CD runners</x:t>
        </x:is>
      </x:c>
      <x:c r="G6" s="2" t="inlineStr">
        <x:is>
          <x:t xml:space="preserve">DevOps</x:t>
        </x:is>
      </x:c>
      <x:c r="H6" s="4" t="n">
        <x:v>13300</x:v>
      </x:c>
      <x:c r="I6" s="4" t="n">
        <x:v>13000</x:v>
      </x:c>
      <x:c r="J6" s="4">
        <x:f>IF($I6="","",$I6-$H6)</x:f>
        <x:v>-300</x:v>
      </x:c>
      <x:c r="K6" s="5">
        <x:f>IF($I6="","",($I6-$H6)/$H6)</x:f>
        <x:v>-0.022556390977443608</x:v>
      </x:c>
      <x:c r="L6" s="2" t="str">
        <x:f>IF($I6="","Planned",IF($I6&gt;$H6,"Over",IF($I6&lt;$H6,"Under","On plan")))</x:f>
        <x:v>Under</x:v>
      </x:c>
      <x:c r="M6" s="2">
        <x:f>IF($I6="","",IF(AND($J6&gt;50000,$K6&gt;0.2),"CRITICAL",""))</x:f>
      </x:c>
      <x:c r="N6" s="2" t="inlineStr">
        <x:is>
          <x:t xml:space="preserve">Yes</x:t>
        </x:is>
      </x:c>
      <x:c r="O6" s="3" t="inlineStr">
        <x:is>
          <x:t xml:space="preserve">по плану: закрыли месяц без существенных отклонений</x:t>
        </x:is>
      </x:c>
    </x:row>
    <x:row r="7">
      <x:c r="A7" s="2" t="n">
        <x:v>6</x:v>
      </x:c>
      <x:c r="B7" s="2" t="inlineStr">
        <x:is>
          <x:t xml:space="preserve">PRJ-301</x:t>
        </x:is>
      </x:c>
      <x:c r="C7" s="2" t="inlineStr">
        <x:is>
          <x:t xml:space="preserve">2025-01</x:t>
        </x:is>
      </x:c>
      <x:c r="D7" s="2" t="inlineStr">
        <x:is>
          <x:t xml:space="preserve">Closed</x:t>
        </x:is>
      </x:c>
      <x:c r="E7" s="3" t="inlineStr">
        <x:is>
          <x:t xml:space="preserve">Инфраструктура</x:t>
        </x:is>
      </x:c>
      <x:c r="F7" s="3" t="inlineStr">
        <x:is>
          <x:t xml:space="preserve">Мониторинг/логирование</x:t>
        </x:is>
      </x:c>
      <x:c r="G7" s="2" t="inlineStr">
        <x:is>
          <x:t xml:space="preserve">DevOps</x:t>
        </x:is>
      </x:c>
      <x:c r="H7" s="4" t="n">
        <x:v>12600</x:v>
      </x:c>
      <x:c r="I7" s="4" t="n">
        <x:v>11900</x:v>
      </x:c>
      <x:c r="J7" s="4">
        <x:f>IF($I7="","",$I7-$H7)</x:f>
        <x:v>-700</x:v>
      </x:c>
      <x:c r="K7" s="5">
        <x:f>IF($I7="","",($I7-$H7)/$H7)</x:f>
        <x:v>-0.05555555555555555</x:v>
      </x:c>
      <x:c r="L7" s="2" t="str">
        <x:f>IF($I7="","Planned",IF($I7&gt;$H7,"Over",IF($I7&lt;$H7,"Under","On plan")))</x:f>
        <x:v>Under</x:v>
      </x:c>
      <x:c r="M7" s="2">
        <x:f>IF($I7="","",IF(AND($J7&gt;50000,$K7&gt;0.2),"CRITICAL",""))</x:f>
      </x:c>
      <x:c r="N7" s="2" t="inlineStr">
        <x:is>
          <x:t xml:space="preserve">Yes</x:t>
        </x:is>
      </x:c>
      <x:c r="O7" s="3" t="inlineStr">
        <x:is>
          <x:t xml:space="preserve">по плану: закрыли месяц без существенных отклонений</x:t>
        </x:is>
      </x:c>
    </x:row>
    <x:row r="8">
      <x:c r="A8" s="2" t="n">
        <x:v>7</x:v>
      </x:c>
      <x:c r="B8" s="2" t="inlineStr">
        <x:is>
          <x:t xml:space="preserve">PRJ-301</x:t>
        </x:is>
      </x:c>
      <x:c r="C8" s="2" t="inlineStr">
        <x:is>
          <x:t xml:space="preserve">2025-01</x:t>
        </x:is>
      </x:c>
      <x:c r="D8" s="2" t="inlineStr">
        <x:is>
          <x:t xml:space="preserve">Closed</x:t>
        </x:is>
      </x:c>
      <x:c r="E8" s="3" t="inlineStr">
        <x:is>
          <x:t xml:space="preserve">Инфраструктура</x:t>
        </x:is>
      </x:c>
      <x:c r="F8" s="3" t="inlineStr">
        <x:is>
          <x:t xml:space="preserve">Домен + SSL</x:t>
        </x:is>
      </x:c>
      <x:c r="G8" s="2" t="inlineStr">
        <x:is>
          <x:t xml:space="preserve">Admin</x:t>
        </x:is>
      </x:c>
      <x:c r="H8" s="4" t="n">
        <x:v>6600</x:v>
      </x:c>
      <x:c r="I8" s="4" t="n">
        <x:v>6800</x:v>
      </x:c>
      <x:c r="J8" s="4">
        <x:f>IF($I8="","",$I8-$H8)</x:f>
        <x:v>200</x:v>
      </x:c>
      <x:c r="K8" s="5">
        <x:f>IF($I8="","",($I8-$H8)/$H8)</x:f>
        <x:v>0.030303030303030304</x:v>
      </x:c>
      <x:c r="L8" s="2" t="str">
        <x:f>IF($I8="","Planned",IF($I8&gt;$H8,"Over",IF($I8&lt;$H8,"Under","On plan")))</x:f>
        <x:v>Over</x:v>
      </x:c>
      <x:c r="M8" s="2">
        <x:f>IF($I8="","",IF(AND($J8&gt;50000,$K8&gt;0.2),"CRITICAL",""))</x:f>
      </x:c>
      <x:c r="N8" s="2" t="inlineStr">
        <x:is>
          <x:t xml:space="preserve">Yes</x:t>
        </x:is>
      </x:c>
      <x:c r="O8" s="3" t="inlineStr">
        <x:is>
          <x:t xml:space="preserve">по плану: расход соответствует смете, отклонение в пределах допуска</x:t>
        </x:is>
      </x:c>
    </x:row>
    <x:row r="9">
      <x:c r="A9" s="2" t="n">
        <x:v>8</x:v>
      </x:c>
      <x:c r="B9" s="2" t="inlineStr">
        <x:is>
          <x:t xml:space="preserve">PRJ-301</x:t>
        </x:is>
      </x:c>
      <x:c r="C9" s="2" t="inlineStr">
        <x:is>
          <x:t xml:space="preserve">2025-01</x:t>
        </x:is>
      </x:c>
      <x:c r="D9" s="2" t="inlineStr">
        <x:is>
          <x:t xml:space="preserve">Closed</x:t>
        </x:is>
      </x:c>
      <x:c r="E9" s="3" t="inlineStr">
        <x:is>
          <x:t xml:space="preserve">ПО/Лицензии</x:t>
        </x:is>
      </x:c>
      <x:c r="F9" s="3" t="inlineStr">
        <x:is>
          <x:t xml:space="preserve">Лицензии IDE</x:t>
        </x:is>
      </x:c>
      <x:c r="G9" s="2" t="inlineStr">
        <x:is>
          <x:t xml:space="preserve">Admin</x:t>
        </x:is>
      </x:c>
      <x:c r="H9" s="4" t="n">
        <x:v>19300</x:v>
      </x:c>
      <x:c r="I9" s="4" t="n">
        <x:v>18700</x:v>
      </x:c>
      <x:c r="J9" s="4">
        <x:f>IF($I9="","",$I9-$H9)</x:f>
        <x:v>-600</x:v>
      </x:c>
      <x:c r="K9" s="5">
        <x:f>IF($I9="","",($I9-$H9)/$H9)</x:f>
        <x:v>-0.031088082901554404</x:v>
      </x:c>
      <x:c r="L9" s="2" t="str">
        <x:f>IF($I9="","Planned",IF($I9&gt;$H9,"Over",IF($I9&lt;$H9,"Under","On plan")))</x:f>
        <x:v>Under</x:v>
      </x:c>
      <x:c r="M9" s="2">
        <x:f>IF($I9="","",IF(AND($J9&gt;50000,$K9&gt;0.2),"CRITICAL",""))</x:f>
      </x:c>
      <x:c r="N9" s="2" t="inlineStr">
        <x:is>
          <x:t xml:space="preserve">Yes</x:t>
        </x:is>
      </x:c>
      <x:c r="O9" s="3" t="inlineStr">
        <x:is>
          <x:t xml:space="preserve">по плану: расход соответствует смете, отклонение в пределах допуска</x:t>
        </x:is>
      </x:c>
    </x:row>
    <x:row r="10">
      <x:c r="A10" s="2" t="n">
        <x:v>9</x:v>
      </x:c>
      <x:c r="B10" s="2" t="inlineStr">
        <x:is>
          <x:t xml:space="preserve">PRJ-301</x:t>
        </x:is>
      </x:c>
      <x:c r="C10" s="2" t="inlineStr">
        <x:is>
          <x:t xml:space="preserve">2025-01</x:t>
        </x:is>
      </x:c>
      <x:c r="D10" s="2" t="inlineStr">
        <x:is>
          <x:t xml:space="preserve">Closed</x:t>
        </x:is>
      </x:c>
      <x:c r="E10" s="3" t="inlineStr">
        <x:is>
          <x:t xml:space="preserve">ПО/Лицензии</x:t>
        </x:is>
      </x:c>
      <x:c r="F10" s="3" t="inlineStr">
        <x:is>
          <x:t xml:space="preserve">Figma/Design tools</x:t>
        </x:is>
      </x:c>
      <x:c r="G10" s="2" t="inlineStr">
        <x:is>
          <x:t xml:space="preserve">Designer</x:t>
        </x:is>
      </x:c>
      <x:c r="H10" s="4" t="n">
        <x:v>6700</x:v>
      </x:c>
      <x:c r="I10" s="4" t="n">
        <x:v>7000</x:v>
      </x:c>
      <x:c r="J10" s="4">
        <x:f>IF($I10="","",$I10-$H10)</x:f>
        <x:v>300</x:v>
      </x:c>
      <x:c r="K10" s="5">
        <x:f>IF($I10="","",($I10-$H10)/$H10)</x:f>
        <x:v>0.04477611940298507</x:v>
      </x:c>
      <x:c r="L10" s="2" t="str">
        <x:f>IF($I10="","Planned",IF($I10&gt;$H10,"Over",IF($I10&lt;$H10,"Under","On plan")))</x:f>
        <x:v>Over</x:v>
      </x:c>
      <x:c r="M10" s="2">
        <x:f>IF($I10="","",IF(AND($J10&gt;50000,$K10&gt;0.2),"CRITICAL",""))</x:f>
      </x:c>
      <x:c r="N10" s="2" t="inlineStr">
        <x:is>
          <x:t xml:space="preserve">Yes</x:t>
        </x:is>
      </x:c>
      <x:c r="O10" s="3" t="inlineStr">
        <x:is>
          <x:t xml:space="preserve">по плану: небольшое отклонение связано с округлением/датой списания</x:t>
        </x:is>
      </x:c>
    </x:row>
    <x:row r="11">
      <x:c r="A11" s="2" t="n">
        <x:v>10</x:v>
      </x:c>
      <x:c r="B11" s="2" t="inlineStr">
        <x:is>
          <x:t xml:space="preserve">PRJ-301</x:t>
        </x:is>
      </x:c>
      <x:c r="C11" s="2" t="inlineStr">
        <x:is>
          <x:t xml:space="preserve">2025-01</x:t>
        </x:is>
      </x:c>
      <x:c r="D11" s="2" t="inlineStr">
        <x:is>
          <x:t xml:space="preserve">Closed</x:t>
        </x:is>
      </x:c>
      <x:c r="E11" s="3" t="inlineStr">
        <x:is>
          <x:t xml:space="preserve">ПО/Лицензии</x:t>
        </x:is>
      </x:c>
      <x:c r="F11" s="3" t="inlineStr">
        <x:is>
          <x:t xml:space="preserve">Jira/Confluence</x:t>
        </x:is>
      </x:c>
      <x:c r="G11" s="2" t="inlineStr">
        <x:is>
          <x:t xml:space="preserve">PM</x:t>
        </x:is>
      </x:c>
      <x:c r="H11" s="4" t="n">
        <x:v>7500</x:v>
      </x:c>
      <x:c r="I11" s="4" t="n">
        <x:v>11800</x:v>
      </x:c>
      <x:c r="J11" s="4">
        <x:f>IF($I11="","",$I11-$H11)</x:f>
        <x:v>4300</x:v>
      </x:c>
      <x:c r="K11" s="5">
        <x:f>IF($I11="","",($I11-$H11)/$H11)</x:f>
        <x:v>0.5733333333333334</x:v>
      </x:c>
      <x:c r="L11" s="2" t="str">
        <x:f>IF($I11="","Planned",IF($I11&gt;$H11,"Over",IF($I11&lt;$H11,"Under","On plan")))</x:f>
        <x:v>Over</x:v>
      </x:c>
      <x:c r="M11" s="2">
        <x:f>IF($I11="","",IF(AND($J11&gt;50000,$K11&gt;0.2),"CRITICAL",""))</x:f>
      </x:c>
      <x:c r="N11" s="2" t="inlineStr">
        <x:is>
          <x:t xml:space="preserve">Yes</x:t>
        </x:is>
      </x:c>
      <x:c r="O11" s="3" t="inlineStr">
        <x:is>
          <x:t xml:space="preserve">перерасход: докупили лицензии для расширенной команды</x:t>
        </x:is>
      </x:c>
    </x:row>
    <x:row r="12">
      <x:c r="A12" s="2" t="n">
        <x:v>11</x:v>
      </x:c>
      <x:c r="B12" s="2" t="inlineStr">
        <x:is>
          <x:t xml:space="preserve">PRJ-301</x:t>
        </x:is>
      </x:c>
      <x:c r="C12" s="2" t="inlineStr">
        <x:is>
          <x:t xml:space="preserve">2025-01</x:t>
        </x:is>
      </x:c>
      <x:c r="D12" s="2" t="inlineStr">
        <x:is>
          <x:t xml:space="preserve">Closed</x:t>
        </x:is>
      </x:c>
      <x:c r="E12" s="3" t="inlineStr">
        <x:is>
          <x:t xml:space="preserve">ПО/Лицензии</x:t>
        </x:is>
      </x:c>
      <x:c r="F12" s="3" t="inlineStr">
        <x:is>
          <x:t xml:space="preserve">Email/рассылки</x:t>
        </x:is>
      </x:c>
      <x:c r="G12" s="2" t="inlineStr">
        <x:is>
          <x:t xml:space="preserve">Backend</x:t>
        </x:is>
      </x:c>
      <x:c r="H12" s="4" t="n">
        <x:v>13300</x:v>
      </x:c>
      <x:c r="I12" s="4" t="n">
        <x:v>13800</x:v>
      </x:c>
      <x:c r="J12" s="4">
        <x:f>IF($I12="","",$I12-$H12)</x:f>
        <x:v>500</x:v>
      </x:c>
      <x:c r="K12" s="5">
        <x:f>IF($I12="","",($I12-$H12)/$H12)</x:f>
        <x:v>0.03759398496240601</x:v>
      </x:c>
      <x:c r="L12" s="2" t="str">
        <x:f>IF($I12="","Planned",IF($I12&gt;$H12,"Over",IF($I12&lt;$H12,"Under","On plan")))</x:f>
        <x:v>Over</x:v>
      </x:c>
      <x:c r="M12" s="2">
        <x:f>IF($I12="","",IF(AND($J12&gt;50000,$K12&gt;0.2),"CRITICAL",""))</x:f>
      </x:c>
      <x:c r="N12" s="2" t="inlineStr">
        <x:is>
          <x:t xml:space="preserve">Yes</x:t>
        </x:is>
      </x:c>
      <x:c r="O12" s="3" t="inlineStr">
        <x:is>
          <x:t xml:space="preserve">по плану: расход соответствует смете, отклонение в пределах допуска</x:t>
        </x:is>
      </x:c>
    </x:row>
    <x:row r="13">
      <x:c r="A13" s="2" t="n">
        <x:v>12</x:v>
      </x:c>
      <x:c r="B13" s="2" t="inlineStr">
        <x:is>
          <x:t xml:space="preserve">PRJ-301</x:t>
        </x:is>
      </x:c>
      <x:c r="C13" s="2" t="inlineStr">
        <x:is>
          <x:t xml:space="preserve">2025-01</x:t>
        </x:is>
      </x:c>
      <x:c r="D13" s="2" t="inlineStr">
        <x:is>
          <x:t xml:space="preserve">Closed</x:t>
        </x:is>
      </x:c>
      <x:c r="E13" s="3" t="inlineStr">
        <x:is>
          <x:t xml:space="preserve">Подряд</x:t>
        </x:is>
      </x:c>
      <x:c r="F13" s="3" t="inlineStr">
        <x:is>
          <x:t xml:space="preserve">Подряд: дизайн (иллюстрации)</x:t>
        </x:is>
      </x:c>
      <x:c r="G13" s="2" t="inlineStr">
        <x:is>
          <x:t xml:space="preserve">Designer</x:t>
        </x:is>
      </x:c>
      <x:c r="H13" s="4" t="n">
        <x:v>58500</x:v>
      </x:c>
      <x:c r="I13" s="4" t="n">
        <x:v>44900</x:v>
      </x:c>
      <x:c r="J13" s="4">
        <x:f>IF($I13="","",$I13-$H13)</x:f>
        <x:v>-13600</x:v>
      </x:c>
      <x:c r="K13" s="5">
        <x:f>IF($I13="","",($I13-$H13)/$H13)</x:f>
        <x:v>-0.23247863247863249</x:v>
      </x:c>
      <x:c r="L13" s="2" t="str">
        <x:f>IF($I13="","Planned",IF($I13&gt;$H13,"Over",IF($I13&lt;$H13,"Under","On plan")))</x:f>
        <x:v>Under</x:v>
      </x:c>
      <x:c r="M13" s="2">
        <x:f>IF($I13="","",IF(AND($J13&gt;50000,$K13&gt;0.2),"CRITICAL",""))</x:f>
      </x:c>
      <x:c r="N13" s="2" t="inlineStr">
        <x:is>
          <x:t xml:space="preserve">Yes</x:t>
        </x:is>
      </x:c>
      <x:c r="O13" s="3" t="inlineStr">
        <x:is>
          <x:t xml:space="preserve">экономия: часть задач сделали силами команды без подрядчика</x:t>
        </x:is>
      </x:c>
    </x:row>
    <x:row r="14">
      <x:c r="A14" s="2" t="n">
        <x:v>13</x:v>
      </x:c>
      <x:c r="B14" s="2" t="inlineStr">
        <x:is>
          <x:t xml:space="preserve">PRJ-301</x:t>
        </x:is>
      </x:c>
      <x:c r="C14" s="2" t="inlineStr">
        <x:is>
          <x:t xml:space="preserve">2025-01</x:t>
        </x:is>
      </x:c>
      <x:c r="D14" s="2" t="inlineStr">
        <x:is>
          <x:t xml:space="preserve">Closed</x:t>
        </x:is>
      </x:c>
      <x:c r="E14" s="3" t="inlineStr">
        <x:is>
          <x:t xml:space="preserve">Подряд</x:t>
        </x:is>
      </x:c>
      <x:c r="F14" s="3" t="inlineStr">
        <x:is>
          <x:t xml:space="preserve">Подряд: UX-исследование</x:t>
        </x:is>
      </x:c>
      <x:c r="G14" s="2" t="inlineStr">
        <x:is>
          <x:t xml:space="preserve">Analyst</x:t>
        </x:is>
      </x:c>
      <x:c r="H14" s="4" t="n">
        <x:v>73200</x:v>
      </x:c>
      <x:c r="I14" s="4" t="n">
        <x:v>91700</x:v>
      </x:c>
      <x:c r="J14" s="4">
        <x:f>IF($I14="","",$I14-$H14)</x:f>
        <x:v>18500</x:v>
      </x:c>
      <x:c r="K14" s="5">
        <x:f>IF($I14="","",($I14-$H14)/$H14)</x:f>
        <x:v>0.2527322404371585</x:v>
      </x:c>
      <x:c r="L14" s="2" t="str">
        <x:f>IF($I14="","Planned",IF($I14&gt;$H14,"Over",IF($I14&lt;$H14,"Under","On plan")))</x:f>
        <x:v>Over</x:v>
      </x:c>
      <x:c r="M14" s="2">
        <x:f>IF($I14="","",IF(AND($J14&gt;50000,$K14&gt;0.2),"CRITICAL",""))</x:f>
      </x:c>
      <x:c r="N14" s="2" t="inlineStr">
        <x:is>
          <x:t xml:space="preserve">Yes</x:t>
        </x:is>
      </x:c>
      <x:c r="O14" s="3" t="inlineStr">
        <x:is>
          <x:t xml:space="preserve">перерасход: срочные работы — ставка выше стандартной</x:t>
        </x:is>
      </x:c>
    </x:row>
    <x:row r="15">
      <x:c r="A15" s="2" t="n">
        <x:v>14</x:v>
      </x:c>
      <x:c r="B15" s="2" t="inlineStr">
        <x:is>
          <x:t xml:space="preserve">PRJ-301</x:t>
        </x:is>
      </x:c>
      <x:c r="C15" s="2" t="inlineStr">
        <x:is>
          <x:t xml:space="preserve">2025-01</x:t>
        </x:is>
      </x:c>
      <x:c r="D15" s="2" t="inlineStr">
        <x:is>
          <x:t xml:space="preserve">Closed</x:t>
        </x:is>
      </x:c>
      <x:c r="E15" s="3" t="inlineStr">
        <x:is>
          <x:t xml:space="preserve">Подряд</x:t>
        </x:is>
      </x:c>
      <x:c r="F15" s="3" t="inlineStr">
        <x:is>
          <x:t xml:space="preserve">Подряд: аналитика/BI</x:t>
        </x:is>
      </x:c>
      <x:c r="G15" s="2" t="inlineStr">
        <x:is>
          <x:t xml:space="preserve">Analyst</x:t>
        </x:is>
      </x:c>
      <x:c r="H15" s="4" t="n">
        <x:v>24500</x:v>
      </x:c>
      <x:c r="I15" s="4" t="n">
        <x:v>28200</x:v>
      </x:c>
      <x:c r="J15" s="4">
        <x:f>IF($I15="","",$I15-$H15)</x:f>
        <x:v>3700</x:v>
      </x:c>
      <x:c r="K15" s="5">
        <x:f>IF($I15="","",($I15-$H15)/$H15)</x:f>
        <x:v>0.1510204081632653</x:v>
      </x:c>
      <x:c r="L15" s="2" t="str">
        <x:f>IF($I15="","Planned",IF($I15&gt;$H15,"Over",IF($I15&lt;$H15,"Under","On plan")))</x:f>
        <x:v>Over</x:v>
      </x:c>
      <x:c r="M15" s="2">
        <x:f>IF($I15="","",IF(AND($J15&gt;50000,$K15&gt;0.2),"CRITICAL",""))</x:f>
      </x:c>
      <x:c r="N15" s="2" t="inlineStr">
        <x:is>
          <x:t xml:space="preserve">Yes</x:t>
        </x:is>
      </x:c>
      <x:c r="O15" s="3" t="inlineStr">
        <x:is>
          <x:t xml:space="preserve">перерасход: срочные работы — ставка выше стандартной</x:t>
        </x:is>
      </x:c>
    </x:row>
    <x:row r="16">
      <x:c r="A16" s="2" t="n">
        <x:v>15</x:v>
      </x:c>
      <x:c r="B16" s="2" t="inlineStr">
        <x:is>
          <x:t xml:space="preserve">PRJ-301</x:t>
        </x:is>
      </x:c>
      <x:c r="C16" s="2" t="inlineStr">
        <x:is>
          <x:t xml:space="preserve">2025-01</x:t>
        </x:is>
      </x:c>
      <x:c r="D16" s="2" t="inlineStr">
        <x:is>
          <x:t xml:space="preserve">Closed</x:t>
        </x:is>
      </x:c>
      <x:c r="E16" s="3" t="inlineStr">
        <x:is>
          <x:t xml:space="preserve">Подряд</x:t>
        </x:is>
      </x:c>
      <x:c r="F16" s="3" t="inlineStr">
        <x:is>
          <x:t xml:space="preserve">Подряд: разработка (внешние)</x:t>
        </x:is>
      </x:c>
      <x:c r="G16" s="2" t="inlineStr">
        <x:is>
          <x:t xml:space="preserve">Team Lead</x:t>
        </x:is>
      </x:c>
      <x:c r="H16" s="4" t="n">
        <x:v>67100</x:v>
      </x:c>
      <x:c r="I16" s="4" t="n">
        <x:v>69600</x:v>
      </x:c>
      <x:c r="J16" s="4">
        <x:f>IF($I16="","",$I16-$H16)</x:f>
        <x:v>2500</x:v>
      </x:c>
      <x:c r="K16" s="5">
        <x:f>IF($I16="","",($I16-$H16)/$H16)</x:f>
        <x:v>0.037257824143070044</x:v>
      </x:c>
      <x:c r="L16" s="2" t="str">
        <x:f>IF($I16="","Planned",IF($I16&gt;$H16,"Over",IF($I16&lt;$H16,"Under","On plan")))</x:f>
        <x:v>Over</x:v>
      </x:c>
      <x:c r="M16" s="2">
        <x:f>IF($I16="","",IF(AND($J16&gt;50000,$K16&gt;0.2),"CRITICAL",""))</x:f>
      </x:c>
      <x:c r="N16" s="2" t="inlineStr">
        <x:is>
          <x:t xml:space="preserve">Yes</x:t>
        </x:is>
      </x:c>
      <x:c r="O16" s="3" t="inlineStr">
        <x:is>
          <x:t xml:space="preserve">перерасход: расширили ТЗ, увеличился объём работ подрядчика</x:t>
        </x:is>
      </x:c>
    </x:row>
    <x:row r="17">
      <x:c r="A17" s="2" t="n">
        <x:v>16</x:v>
      </x:c>
      <x:c r="B17" s="2" t="inlineStr">
        <x:is>
          <x:t xml:space="preserve">PRJ-301</x:t>
        </x:is>
      </x:c>
      <x:c r="C17" s="2" t="inlineStr">
        <x:is>
          <x:t xml:space="preserve">2025-01</x:t>
        </x:is>
      </x:c>
      <x:c r="D17" s="2" t="inlineStr">
        <x:is>
          <x:t xml:space="preserve">Closed</x:t>
        </x:is>
      </x:c>
      <x:c r="E17" s="3" t="inlineStr">
        <x:is>
          <x:t xml:space="preserve">Маркетинг</x:t>
        </x:is>
      </x:c>
      <x:c r="F17" s="3" t="inlineStr">
        <x:is>
          <x:t xml:space="preserve">Маркетинг: лендинг</x:t>
        </x:is>
      </x:c>
      <x:c r="G17" s="2" t="inlineStr">
        <x:is>
          <x:t xml:space="preserve">Marketing</x:t>
        </x:is>
      </x:c>
      <x:c r="H17" s="4" t="n">
        <x:v>13900</x:v>
      </x:c>
      <x:c r="I17" s="4" t="n">
        <x:v>18200</x:v>
      </x:c>
      <x:c r="J17" s="4">
        <x:f>IF($I17="","",$I17-$H17)</x:f>
        <x:v>4300</x:v>
      </x:c>
      <x:c r="K17" s="5">
        <x:f>IF($I17="","",($I17-$H17)/$H17)</x:f>
        <x:v>0.30935251798561153</x:v>
      </x:c>
      <x:c r="L17" s="2" t="str">
        <x:f>IF($I17="","Planned",IF($I17&gt;$H17,"Over",IF($I17&lt;$H17,"Under","On plan")))</x:f>
        <x:v>Over</x:v>
      </x:c>
      <x:c r="M17" s="2">
        <x:f>IF($I17="","",IF(AND($J17&gt;50000,$K17&gt;0.2),"CRITICAL",""))</x:f>
      </x:c>
      <x:c r="N17" s="2" t="inlineStr">
        <x:is>
          <x:t xml:space="preserve">Yes</x:t>
        </x:is>
      </x:c>
      <x:c r="O17" s="3" t="inlineStr">
        <x:is>
          <x:t xml:space="preserve">перерасход: стоимость клика/лида оказалась выше плановой</x:t>
        </x:is>
      </x:c>
    </x:row>
    <x:row r="18">
      <x:c r="A18" s="2" t="n">
        <x:v>17</x:v>
      </x:c>
      <x:c r="B18" s="2" t="inlineStr">
        <x:is>
          <x:t xml:space="preserve">PRJ-301</x:t>
        </x:is>
      </x:c>
      <x:c r="C18" s="2" t="inlineStr">
        <x:is>
          <x:t xml:space="preserve">2025-01</x:t>
        </x:is>
      </x:c>
      <x:c r="D18" s="2" t="inlineStr">
        <x:is>
          <x:t xml:space="preserve">Closed</x:t>
        </x:is>
      </x:c>
      <x:c r="E18" s="3" t="inlineStr">
        <x:is>
          <x:t xml:space="preserve">Маркетинг</x:t>
        </x:is>
      </x:c>
      <x:c r="F18" s="3" t="inlineStr">
        <x:is>
          <x:t xml:space="preserve">Маркетинг: реклама (контекст)</x:t>
        </x:is>
      </x:c>
      <x:c r="G18" s="2" t="inlineStr">
        <x:is>
          <x:t xml:space="preserve">Marketing</x:t>
        </x:is>
      </x:c>
      <x:c r="H18" s="4" t="n">
        <x:v>79100</x:v>
      </x:c>
      <x:c r="I18" s="4" t="n">
        <x:v>124500</x:v>
      </x:c>
      <x:c r="J18" s="4">
        <x:f>IF($I18="","",$I18-$H18)</x:f>
        <x:v>45400</x:v>
      </x:c>
      <x:c r="K18" s="5">
        <x:f>IF($I18="","",($I18-$H18)/$H18)</x:f>
        <x:v>0.5739570164348925</x:v>
      </x:c>
      <x:c r="L18" s="2" t="str">
        <x:f>IF($I18="","Planned",IF($I18&gt;$H18,"Over",IF($I18&lt;$H18,"Under","On plan")))</x:f>
        <x:v>Over</x:v>
      </x:c>
      <x:c r="M18" s="2">
        <x:f>IF($I18="","",IF(AND($J18&gt;50000,$K18&gt;0.2),"CRITICAL",""))</x:f>
      </x:c>
      <x:c r="N18" s="2" t="inlineStr">
        <x:is>
          <x:t xml:space="preserve">Yes</x:t>
        </x:is>
      </x:c>
      <x:c r="O18" s="3" t="inlineStr">
        <x:is>
          <x:t xml:space="preserve">перерасход: расширили географию/аудитории таргетинга</x:t>
        </x:is>
      </x:c>
    </x:row>
    <x:row r="19">
      <x:c r="A19" s="2" t="n">
        <x:v>18</x:v>
      </x:c>
      <x:c r="B19" s="2" t="inlineStr">
        <x:is>
          <x:t xml:space="preserve">PRJ-301</x:t>
        </x:is>
      </x:c>
      <x:c r="C19" s="2" t="inlineStr">
        <x:is>
          <x:t xml:space="preserve">2025-01</x:t>
        </x:is>
      </x:c>
      <x:c r="D19" s="2" t="inlineStr">
        <x:is>
          <x:t xml:space="preserve">Closed</x:t>
        </x:is>
      </x:c>
      <x:c r="E19" s="3" t="inlineStr">
        <x:is>
          <x:t xml:space="preserve">Маркетинг</x:t>
        </x:is>
      </x:c>
      <x:c r="F19" s="3" t="inlineStr">
        <x:is>
          <x:t xml:space="preserve">Маркетинг: контент/копирайт</x:t>
        </x:is>
      </x:c>
      <x:c r="G19" s="2" t="inlineStr">
        <x:is>
          <x:t xml:space="preserve">Marketing</x:t>
        </x:is>
      </x:c>
      <x:c r="H19" s="4" t="n">
        <x:v>30800</x:v>
      </x:c>
      <x:c r="I19" s="4" t="n">
        <x:v>37900</x:v>
      </x:c>
      <x:c r="J19" s="4">
        <x:f>IF($I19="","",$I19-$H19)</x:f>
        <x:v>7100</x:v>
      </x:c>
      <x:c r="K19" s="5">
        <x:f>IF($I19="","",($I19-$H19)/$H19)</x:f>
        <x:v>0.2305194805194805</x:v>
      </x:c>
      <x:c r="L19" s="2" t="str">
        <x:f>IF($I19="","Planned",IF($I19&gt;$H19,"Over",IF($I19&lt;$H19,"Under","On plan")))</x:f>
        <x:v>Over</x:v>
      </x:c>
      <x:c r="M19" s="2">
        <x:f>IF($I19="","",IF(AND($J19&gt;50000,$K19&gt;0.2),"CRITICAL",""))</x:f>
      </x:c>
      <x:c r="N19" s="2" t="inlineStr">
        <x:is>
          <x:t xml:space="preserve">Yes</x:t>
        </x:is>
      </x:c>
      <x:c r="O19" s="3" t="inlineStr">
        <x:is>
          <x:t xml:space="preserve">перерасход: стоимость клика/лида оказалась выше плановой</x:t>
        </x:is>
      </x:c>
    </x:row>
    <x:row r="20">
      <x:c r="A20" s="2" t="n">
        <x:v>19</x:v>
      </x:c>
      <x:c r="B20" s="2" t="inlineStr">
        <x:is>
          <x:t xml:space="preserve">PRJ-301</x:t>
        </x:is>
      </x:c>
      <x:c r="C20" s="2" t="inlineStr">
        <x:is>
          <x:t xml:space="preserve">2025-01</x:t>
        </x:is>
      </x:c>
      <x:c r="D20" s="2" t="inlineStr">
        <x:is>
          <x:t xml:space="preserve">Closed</x:t>
        </x:is>
      </x:c>
      <x:c r="E20" s="3" t="inlineStr">
        <x:is>
          <x:t xml:space="preserve">Железо</x:t>
        </x:is>
      </x:c>
      <x:c r="F20" s="3" t="inlineStr">
        <x:is>
          <x:t xml:space="preserve">Тестовые устройства (QA)</x:t>
        </x:is>
      </x:c>
      <x:c r="G20" s="2" t="inlineStr">
        <x:is>
          <x:t xml:space="preserve">QA</x:t>
        </x:is>
      </x:c>
      <x:c r="H20" s="4" t="n">
        <x:v>37400</x:v>
      </x:c>
      <x:c r="I20" s="4" t="n">
        <x:v>28000</x:v>
      </x:c>
      <x:c r="J20" s="4">
        <x:f>IF($I20="","",$I20-$H20)</x:f>
        <x:v>-9400</x:v>
      </x:c>
      <x:c r="K20" s="5">
        <x:f>IF($I20="","",($I20-$H20)/$H20)</x:f>
        <x:v>-0.25133689839572193</x:v>
      </x:c>
      <x:c r="L20" s="2" t="str">
        <x:f>IF($I20="","Planned",IF($I20&gt;$H20,"Over",IF($I20&lt;$H20,"Under","On plan")))</x:f>
        <x:v>Under</x:v>
      </x:c>
      <x:c r="M20" s="2">
        <x:f>IF($I20="","",IF(AND($J20&gt;50000,$K20&gt;0.2),"CRITICAL",""))</x:f>
      </x:c>
      <x:c r="N20" s="2" t="inlineStr">
        <x:is>
          <x:t xml:space="preserve">Yes</x:t>
        </x:is>
      </x:c>
      <x:c r="O20" s="3" t="inlineStr">
        <x:is>
          <x:t xml:space="preserve">экономия: часть поставки перенесли на следующий месяц</x:t>
        </x:is>
      </x:c>
    </x:row>
    <x:row r="21">
      <x:c r="A21" s="2" t="n">
        <x:v>20</x:v>
      </x:c>
      <x:c r="B21" s="2" t="inlineStr">
        <x:is>
          <x:t xml:space="preserve">PRJ-301</x:t>
        </x:is>
      </x:c>
      <x:c r="C21" s="2" t="inlineStr">
        <x:is>
          <x:t xml:space="preserve">2025-01</x:t>
        </x:is>
      </x:c>
      <x:c r="D21" s="2" t="inlineStr">
        <x:is>
          <x:t xml:space="preserve">Closed</x:t>
        </x:is>
      </x:c>
      <x:c r="E21" s="3" t="inlineStr">
        <x:is>
          <x:t xml:space="preserve">Железо</x:t>
        </x:is>
      </x:c>
      <x:c r="F21" s="3" t="inlineStr">
        <x:is>
          <x:t xml:space="preserve">Сервер/мини-ПК для стенда</x:t>
        </x:is>
      </x:c>
      <x:c r="G21" s="2" t="inlineStr">
        <x:is>
          <x:t xml:space="preserve">DevOps</x:t>
        </x:is>
      </x:c>
      <x:c r="H21" s="4" t="n">
        <x:v>62300</x:v>
      </x:c>
      <x:c r="I21" s="4" t="n">
        <x:v>79100</x:v>
      </x:c>
      <x:c r="J21" s="4">
        <x:f>IF($I21="","",$I21-$H21)</x:f>
        <x:v>16800</x:v>
      </x:c>
      <x:c r="K21" s="5">
        <x:f>IF($I21="","",($I21-$H21)/$H21)</x:f>
        <x:v>0.2696629213483146</x:v>
      </x:c>
      <x:c r="L21" s="2" t="str">
        <x:f>IF($I21="","Planned",IF($I21&gt;$H21,"Over",IF($I21&lt;$H21,"Under","On plan")))</x:f>
        <x:v>Over</x:v>
      </x:c>
      <x:c r="M21" s="2">
        <x:f>IF($I21="","",IF(AND($J21&gt;50000,$K21&gt;0.2),"CRITICAL",""))</x:f>
      </x:c>
      <x:c r="N21" s="2" t="inlineStr">
        <x:is>
          <x:t xml:space="preserve">Yes</x:t>
        </x:is>
      </x:c>
      <x:c r="O21" s="3" t="inlineStr">
        <x:is>
          <x:t xml:space="preserve">перерасход: замена бракованной партии</x:t>
        </x:is>
      </x:c>
    </x:row>
    <x:row r="22">
      <x:c r="A22" s="2" t="n">
        <x:v>21</x:v>
      </x:c>
      <x:c r="B22" s="2" t="inlineStr">
        <x:is>
          <x:t xml:space="preserve">PRJ-301</x:t>
        </x:is>
      </x:c>
      <x:c r="C22" s="2" t="inlineStr">
        <x:is>
          <x:t xml:space="preserve">2025-01</x:t>
        </x:is>
      </x:c>
      <x:c r="D22" s="2" t="inlineStr">
        <x:is>
          <x:t xml:space="preserve">Closed</x:t>
        </x:is>
      </x:c>
      <x:c r="E22" s="3" t="inlineStr">
        <x:is>
          <x:t xml:space="preserve">Железо</x:t>
        </x:is>
      </x:c>
      <x:c r="F22" s="3" t="inlineStr">
        <x:is>
          <x:t xml:space="preserve">Периферия (кабели/адаптеры)</x:t>
        </x:is>
      </x:c>
      <x:c r="G22" s="2" t="inlineStr">
        <x:is>
          <x:t xml:space="preserve">DevOps</x:t>
        </x:is>
      </x:c>
      <x:c r="H22" s="4" t="n">
        <x:v>18000</x:v>
      </x:c>
      <x:c r="I22" s="4" t="n">
        <x:v>15200</x:v>
      </x:c>
      <x:c r="J22" s="4">
        <x:f>IF($I22="","",$I22-$H22)</x:f>
        <x:v>-2800</x:v>
      </x:c>
      <x:c r="K22" s="5">
        <x:f>IF($I22="","",($I22-$H22)/$H22)</x:f>
        <x:v>-0.15555555555555556</x:v>
      </x:c>
      <x:c r="L22" s="2" t="str">
        <x:f>IF($I22="","Planned",IF($I22&gt;$H22,"Over",IF($I22&lt;$H22,"Under","On plan")))</x:f>
        <x:v>Under</x:v>
      </x:c>
      <x:c r="M22" s="2">
        <x:f>IF($I22="","",IF(AND($J22&gt;50000,$K22&gt;0.2),"CRITICAL",""))</x:f>
      </x:c>
      <x:c r="N22" s="2" t="inlineStr">
        <x:is>
          <x:t xml:space="preserve">Yes</x:t>
        </x:is>
      </x:c>
      <x:c r="O22" s="3" t="inlineStr">
        <x:is>
          <x:t xml:space="preserve">экономия: нашли поставку по скидке/на распродаже</x:t>
        </x:is>
      </x:c>
    </x:row>
    <x:row r="23">
      <x:c r="A23" s="2" t="n">
        <x:v>22</x:v>
      </x:c>
      <x:c r="B23" s="2" t="inlineStr">
        <x:is>
          <x:t xml:space="preserve">PRJ-301</x:t>
        </x:is>
      </x:c>
      <x:c r="C23" s="2" t="inlineStr">
        <x:is>
          <x:t xml:space="preserve">2025-01</x:t>
        </x:is>
      </x:c>
      <x:c r="D23" s="2" t="inlineStr">
        <x:is>
          <x:t xml:space="preserve">Closed</x:t>
        </x:is>
      </x:c>
      <x:c r="E23" s="3" t="inlineStr">
        <x:is>
          <x:t xml:space="preserve">Данные</x:t>
        </x:is>
      </x:c>
      <x:c r="F23" s="3" t="inlineStr">
        <x:is>
          <x:t xml:space="preserve">Покупка датасета/доступ</x:t>
        </x:is>
      </x:c>
      <x:c r="G23" s="2" t="inlineStr">
        <x:is>
          <x:t xml:space="preserve">Analyst</x:t>
        </x:is>
      </x:c>
      <x:c r="H23" s="4" t="n">
        <x:v>35900</x:v>
      </x:c>
      <x:c r="I23" s="4" t="n">
        <x:v>37200</x:v>
      </x:c>
      <x:c r="J23" s="4">
        <x:f>IF($I23="","",$I23-$H23)</x:f>
        <x:v>1300</x:v>
      </x:c>
      <x:c r="K23" s="5">
        <x:f>IF($I23="","",($I23-$H23)/$H23)</x:f>
        <x:v>0.036211699164345405</x:v>
      </x:c>
      <x:c r="L23" s="2" t="str">
        <x:f>IF($I23="","Planned",IF($I23&gt;$H23,"Over",IF($I23&lt;$H23,"Under","On plan")))</x:f>
        <x:v>Over</x:v>
      </x:c>
      <x:c r="M23" s="2">
        <x:f>IF($I23="","",IF(AND($J23&gt;50000,$K23&gt;0.2),"CRITICAL",""))</x:f>
      </x:c>
      <x:c r="N23" s="2" t="inlineStr">
        <x:is>
          <x:t xml:space="preserve">Yes</x:t>
        </x:is>
      </x:c>
      <x:c r="O23" s="3" t="inlineStr">
        <x:is>
          <x:t xml:space="preserve">по плану: закрыли месяц без существенных отклонений</x:t>
        </x:is>
      </x:c>
    </x:row>
    <x:row r="24">
      <x:c r="A24" s="2" t="n">
        <x:v>23</x:v>
      </x:c>
      <x:c r="B24" s="2" t="inlineStr">
        <x:is>
          <x:t xml:space="preserve">PRJ-301</x:t>
        </x:is>
      </x:c>
      <x:c r="C24" s="2" t="inlineStr">
        <x:is>
          <x:t xml:space="preserve">2025-01</x:t>
        </x:is>
      </x:c>
      <x:c r="D24" s="2" t="inlineStr">
        <x:is>
          <x:t xml:space="preserve">Closed</x:t>
        </x:is>
      </x:c>
      <x:c r="E24" s="3" t="inlineStr">
        <x:is>
          <x:t xml:space="preserve">Данные</x:t>
        </x:is>
      </x:c>
      <x:c r="F24" s="3" t="inlineStr">
        <x:is>
          <x:t xml:space="preserve">Разметка данных (аутсорс)</x:t>
        </x:is>
      </x:c>
      <x:c r="G24" s="2" t="inlineStr">
        <x:is>
          <x:t xml:space="preserve">Analyst</x:t>
        </x:is>
      </x:c>
      <x:c r="H24" s="4" t="n">
        <x:v>69900</x:v>
      </x:c>
      <x:c r="I24" s="4" t="n">
        <x:v>38300</x:v>
      </x:c>
      <x:c r="J24" s="4">
        <x:f>IF($I24="","",$I24-$H24)</x:f>
        <x:v>-31600</x:v>
      </x:c>
      <x:c r="K24" s="5">
        <x:f>IF($I24="","",($I24-$H24)/$H24)</x:f>
        <x:v>-0.4520743919885551</x:v>
      </x:c>
      <x:c r="L24" s="2" t="str">
        <x:f>IF($I24="","Planned",IF($I24&gt;$H24,"Over",IF($I24&lt;$H24,"Under","On plan")))</x:f>
        <x:v>Under</x:v>
      </x:c>
      <x:c r="M24" s="2">
        <x:f>IF($I24="","",IF(AND($J24&gt;50000,$K24&gt;0.2),"CRITICAL",""))</x:f>
      </x:c>
      <x:c r="N24" s="2" t="inlineStr">
        <x:is>
          <x:t xml:space="preserve">Yes</x:t>
        </x:is>
      </x:c>
      <x:c r="O24" s="3" t="inlineStr">
        <x:is>
          <x:t xml:space="preserve">экономия: объём данных оказался ниже прогнозного</x:t>
        </x:is>
      </x:c>
    </x:row>
    <x:row r="25">
      <x:c r="A25" s="2" t="n">
        <x:v>24</x:v>
      </x:c>
      <x:c r="B25" s="2" t="inlineStr">
        <x:is>
          <x:t xml:space="preserve">PRJ-301</x:t>
        </x:is>
      </x:c>
      <x:c r="C25" s="2" t="inlineStr">
        <x:is>
          <x:t xml:space="preserve">2025-01</x:t>
        </x:is>
      </x:c>
      <x:c r="D25" s="2" t="inlineStr">
        <x:is>
          <x:t xml:space="preserve">Closed</x:t>
        </x:is>
      </x:c>
      <x:c r="E25" s="3" t="inlineStr">
        <x:is>
          <x:t xml:space="preserve">Юридическое</x:t>
        </x:is>
      </x:c>
      <x:c r="F25" s="3" t="inlineStr">
        <x:is>
          <x:t xml:space="preserve">Договоры/юридическая проверка</x:t>
        </x:is>
      </x:c>
      <x:c r="G25" s="2" t="inlineStr">
        <x:is>
          <x:t xml:space="preserve">PM</x:t>
        </x:is>
      </x:c>
      <x:c r="H25" s="4" t="n">
        <x:v>17600</x:v>
      </x:c>
      <x:c r="I25" s="4" t="n">
        <x:v>17800</x:v>
      </x:c>
      <x:c r="J25" s="4">
        <x:f>IF($I25="","",$I25-$H25)</x:f>
        <x:v>200</x:v>
      </x:c>
      <x:c r="K25" s="5">
        <x:f>IF($I25="","",($I25-$H25)/$H25)</x:f>
        <x:v>0.011363636363636364</x:v>
      </x:c>
      <x:c r="L25" s="2" t="str">
        <x:f>IF($I25="","Planned",IF($I25&gt;$H25,"Over",IF($I25&lt;$H25,"Under","On plan")))</x:f>
        <x:v>Over</x:v>
      </x:c>
      <x:c r="M25" s="2">
        <x:f>IF($I25="","",IF(AND($J25&gt;50000,$K25&gt;0.2),"CRITICAL",""))</x:f>
      </x:c>
      <x:c r="N25" s="2" t="inlineStr">
        <x:is>
          <x:t xml:space="preserve">Yes</x:t>
        </x:is>
      </x:c>
      <x:c r="O25" s="3" t="inlineStr">
        <x:is>
          <x:t xml:space="preserve">по плану: фактическая сумма соответствует договору/тарифу</x:t>
        </x:is>
      </x:c>
    </x:row>
    <x:row r="26">
      <x:c r="A26" s="2" t="n">
        <x:v>25</x:v>
      </x:c>
      <x:c r="B26" s="2" t="inlineStr">
        <x:is>
          <x:t xml:space="preserve">PRJ-301</x:t>
        </x:is>
      </x:c>
      <x:c r="C26" s="2" t="inlineStr">
        <x:is>
          <x:t xml:space="preserve">2025-01</x:t>
        </x:is>
      </x:c>
      <x:c r="D26" s="2" t="inlineStr">
        <x:is>
          <x:t xml:space="preserve">Closed</x:t>
        </x:is>
      </x:c>
      <x:c r="E26" s="3" t="inlineStr">
        <x:is>
          <x:t xml:space="preserve">Команда</x:t>
        </x:is>
      </x:c>
      <x:c r="F26" s="3" t="inlineStr">
        <x:is>
          <x:t xml:space="preserve">Обучение/курсы</x:t>
        </x:is>
      </x:c>
      <x:c r="G26" s="2" t="inlineStr">
        <x:is>
          <x:t xml:space="preserve">PM</x:t>
        </x:is>
      </x:c>
      <x:c r="H26" s="4" t="n">
        <x:v>13700</x:v>
      </x:c>
      <x:c r="I26" s="4" t="n">
        <x:v>16000</x:v>
      </x:c>
      <x:c r="J26" s="4">
        <x:f>IF($I26="","",$I26-$H26)</x:f>
        <x:v>2300</x:v>
      </x:c>
      <x:c r="K26" s="5">
        <x:f>IF($I26="","",($I26-$H26)/$H26)</x:f>
        <x:v>0.1678832116788321</x:v>
      </x:c>
      <x:c r="L26" s="2" t="str">
        <x:f>IF($I26="","Planned",IF($I26&gt;$H26,"Over",IF($I26&lt;$H26,"Under","On plan")))</x:f>
        <x:v>Over</x:v>
      </x:c>
      <x:c r="M26" s="2">
        <x:f>IF($I26="","",IF(AND($J26&gt;50000,$K26&gt;0.2),"CRITICAL",""))</x:f>
      </x:c>
      <x:c r="N26" s="2" t="inlineStr">
        <x:is>
          <x:t xml:space="preserve">Yes</x:t>
        </x:is>
      </x:c>
      <x:c r="O26" s="3" t="inlineStr">
        <x:is>
          <x:t xml:space="preserve">перерасход: премия за закрытие критичных задач</x:t>
        </x:is>
      </x:c>
    </x:row>
    <x:row r="27">
      <x:c r="A27" s="2" t="n">
        <x:v>26</x:v>
      </x:c>
      <x:c r="B27" s="2" t="inlineStr">
        <x:is>
          <x:t xml:space="preserve">PRJ-301</x:t>
        </x:is>
      </x:c>
      <x:c r="C27" s="2" t="inlineStr">
        <x:is>
          <x:t xml:space="preserve">2025-02</x:t>
        </x:is>
      </x:c>
      <x:c r="D27" s="2" t="inlineStr">
        <x:is>
          <x:t xml:space="preserve">Closed</x:t>
        </x:is>
      </x:c>
      <x:c r="E27" s="3" t="inlineStr">
        <x:is>
          <x:t xml:space="preserve">ПО/Лицензии</x:t>
        </x:is>
      </x:c>
      <x:c r="F27" s="3" t="inlineStr">
        <x:is>
          <x:t xml:space="preserve">Лицензии IDE</x:t>
        </x:is>
      </x:c>
      <x:c r="G27" s="2" t="inlineStr">
        <x:is>
          <x:t xml:space="preserve">Admin</x:t>
        </x:is>
      </x:c>
      <x:c r="H27" s="4" t="n">
        <x:v>10100</x:v>
      </x:c>
      <x:c r="I27" s="4" t="n">
        <x:v>9800</x:v>
      </x:c>
      <x:c r="J27" s="4">
        <x:f>IF($I27="","",$I27-$H27)</x:f>
        <x:v>-300</x:v>
      </x:c>
      <x:c r="K27" s="5">
        <x:f>IF($I27="","",($I27-$H27)/$H27)</x:f>
        <x:v>-0.0297029702970297</x:v>
      </x:c>
      <x:c r="L27" s="2" t="str">
        <x:f>IF($I27="","Planned",IF($I27&gt;$H27,"Over",IF($I27&lt;$H27,"Under","On plan")))</x:f>
        <x:v>Under</x:v>
      </x:c>
      <x:c r="M27" s="2">
        <x:f>IF($I27="","",IF(AND($J27&gt;50000,$K27&gt;0.2),"CRITICAL",""))</x:f>
      </x:c>
      <x:c r="N27" s="2" t="inlineStr">
        <x:is>
          <x:t xml:space="preserve">Yes</x:t>
        </x:is>
      </x:c>
      <x:c r="O27" s="3" t="inlineStr">
        <x:is>
          <x:t xml:space="preserve">по плану: закрыли месяц без существенных отклонений</x:t>
        </x:is>
      </x:c>
    </x:row>
    <x:row r="28">
      <x:c r="A28" s="2" t="n">
        <x:v>27</x:v>
      </x:c>
      <x:c r="B28" s="2" t="inlineStr">
        <x:is>
          <x:t xml:space="preserve">PRJ-301</x:t>
        </x:is>
      </x:c>
      <x:c r="C28" s="2" t="inlineStr">
        <x:is>
          <x:t xml:space="preserve">2025-02</x:t>
        </x:is>
      </x:c>
      <x:c r="D28" s="2" t="inlineStr">
        <x:is>
          <x:t xml:space="preserve">Closed</x:t>
        </x:is>
      </x:c>
      <x:c r="E28" s="3" t="inlineStr">
        <x:is>
          <x:t xml:space="preserve">ПО/Лицензии</x:t>
        </x:is>
      </x:c>
      <x:c r="F28" s="3" t="inlineStr">
        <x:is>
          <x:t xml:space="preserve">Figma/Design tools</x:t>
        </x:is>
      </x:c>
      <x:c r="G28" s="2" t="inlineStr">
        <x:is>
          <x:t xml:space="preserve">Designer</x:t>
        </x:is>
      </x:c>
      <x:c r="H28" s="4" t="n">
        <x:v>12700</x:v>
      </x:c>
      <x:c r="I28" s="4" t="n">
        <x:v>14100</x:v>
      </x:c>
      <x:c r="J28" s="4">
        <x:f>IF($I28="","",$I28-$H28)</x:f>
        <x:v>1400</x:v>
      </x:c>
      <x:c r="K28" s="5">
        <x:f>IF($I28="","",($I28-$H28)/$H28)</x:f>
        <x:v>0.11023622047244094</x:v>
      </x:c>
      <x:c r="L28" s="2" t="str">
        <x:f>IF($I28="","Planned",IF($I28&gt;$H28,"Over",IF($I28&lt;$H28,"Under","On plan")))</x:f>
        <x:v>Over</x:v>
      </x:c>
      <x:c r="M28" s="2">
        <x:f>IF($I28="","",IF(AND($J28&gt;50000,$K28&gt;0.2),"CRITICAL",""))</x:f>
      </x:c>
      <x:c r="N28" s="2" t="inlineStr">
        <x:is>
          <x:t xml:space="preserve">Yes</x:t>
        </x:is>
      </x:c>
      <x:c r="O28" s="3" t="inlineStr">
        <x:is>
          <x:t xml:space="preserve">по плану: закрыли месяц без существенных отклонений</x:t>
        </x:is>
      </x:c>
    </x:row>
    <x:row r="29">
      <x:c r="A29" s="2" t="n">
        <x:v>28</x:v>
      </x:c>
      <x:c r="B29" s="2" t="inlineStr">
        <x:is>
          <x:t xml:space="preserve">PRJ-301</x:t>
        </x:is>
      </x:c>
      <x:c r="C29" s="2" t="inlineStr">
        <x:is>
          <x:t xml:space="preserve">2025-02</x:t>
        </x:is>
      </x:c>
      <x:c r="D29" s="2" t="inlineStr">
        <x:is>
          <x:t xml:space="preserve">Closed</x:t>
        </x:is>
      </x:c>
      <x:c r="E29" s="3" t="inlineStr">
        <x:is>
          <x:t xml:space="preserve">ПО/Лицензии</x:t>
        </x:is>
      </x:c>
      <x:c r="F29" s="3" t="inlineStr">
        <x:is>
          <x:t xml:space="preserve">Jira/Confluence</x:t>
        </x:is>
      </x:c>
      <x:c r="G29" s="2" t="inlineStr">
        <x:is>
          <x:t xml:space="preserve">PM</x:t>
        </x:is>
      </x:c>
      <x:c r="H29" s="4" t="n">
        <x:v>11000</x:v>
      </x:c>
      <x:c r="I29" s="4" t="n">
        <x:v>11600</x:v>
      </x:c>
      <x:c r="J29" s="4">
        <x:f>IF($I29="","",$I29-$H29)</x:f>
        <x:v>600</x:v>
      </x:c>
      <x:c r="K29" s="5">
        <x:f>IF($I29="","",($I29-$H29)/$H29)</x:f>
        <x:v>0.05454545454545454</x:v>
      </x:c>
      <x:c r="L29" s="2" t="str">
        <x:f>IF($I29="","Planned",IF($I29&gt;$H29,"Over",IF($I29&lt;$H29,"Under","On plan")))</x:f>
        <x:v>Over</x:v>
      </x:c>
      <x:c r="M29" s="2">
        <x:f>IF($I29="","",IF(AND($J29&gt;50000,$K29&gt;0.2),"CRITICAL",""))</x:f>
      </x:c>
      <x:c r="N29" s="2" t="inlineStr">
        <x:is>
          <x:t xml:space="preserve">Yes</x:t>
        </x:is>
      </x:c>
      <x:c r="O29" s="3" t="inlineStr">
        <x:is>
          <x:t xml:space="preserve">по плану: фактическая сумма соответствует договору/тарифу</x:t>
        </x:is>
      </x:c>
    </x:row>
    <x:row r="30">
      <x:c r="A30" s="2" t="n">
        <x:v>29</x:v>
      </x:c>
      <x:c r="B30" s="2" t="inlineStr">
        <x:is>
          <x:t xml:space="preserve">PRJ-301</x:t>
        </x:is>
      </x:c>
      <x:c r="C30" s="2" t="inlineStr">
        <x:is>
          <x:t xml:space="preserve">2025-02</x:t>
        </x:is>
      </x:c>
      <x:c r="D30" s="2" t="inlineStr">
        <x:is>
          <x:t xml:space="preserve">Closed</x:t>
        </x:is>
      </x:c>
      <x:c r="E30" s="3" t="inlineStr">
        <x:is>
          <x:t xml:space="preserve">ПО/Лицензии</x:t>
        </x:is>
      </x:c>
      <x:c r="F30" s="3" t="inlineStr">
        <x:is>
          <x:t xml:space="preserve">Email/рассылки</x:t>
        </x:is>
      </x:c>
      <x:c r="G30" s="2" t="inlineStr">
        <x:is>
          <x:t xml:space="preserve">Backend</x:t>
        </x:is>
      </x:c>
      <x:c r="H30" s="4" t="n">
        <x:v>16500</x:v>
      </x:c>
      <x:c r="I30" s="4" t="n">
        <x:v>15700</x:v>
      </x:c>
      <x:c r="J30" s="4">
        <x:f>IF($I30="","",$I30-$H30)</x:f>
        <x:v>-800</x:v>
      </x:c>
      <x:c r="K30" s="5">
        <x:f>IF($I30="","",($I30-$H30)/$H30)</x:f>
        <x:v>-0.048484848484848485</x:v>
      </x:c>
      <x:c r="L30" s="2" t="str">
        <x:f>IF($I30="","Planned",IF($I30&gt;$H30,"Over",IF($I30&lt;$H30,"Under","On plan")))</x:f>
        <x:v>Under</x:v>
      </x:c>
      <x:c r="M30" s="2">
        <x:f>IF($I30="","",IF(AND($J30&gt;50000,$K30&gt;0.2),"CRITICAL",""))</x:f>
      </x:c>
      <x:c r="N30" s="2" t="inlineStr">
        <x:is>
          <x:t xml:space="preserve">Yes</x:t>
        </x:is>
      </x:c>
      <x:c r="O30" s="3" t="inlineStr">
        <x:is>
          <x:t xml:space="preserve">по плану: расход соответствует смете, отклонение в пределах допуска</x:t>
        </x:is>
      </x:c>
    </x:row>
    <x:row r="31">
      <x:c r="A31" s="2" t="n">
        <x:v>30</x:v>
      </x:c>
      <x:c r="B31" s="2" t="inlineStr">
        <x:is>
          <x:t xml:space="preserve">PRJ-301</x:t>
        </x:is>
      </x:c>
      <x:c r="C31" s="2" t="inlineStr">
        <x:is>
          <x:t xml:space="preserve">2025-02</x:t>
        </x:is>
      </x:c>
      <x:c r="D31" s="2" t="inlineStr">
        <x:is>
          <x:t xml:space="preserve">Closed</x:t>
        </x:is>
      </x:c>
      <x:c r="E31" s="3" t="inlineStr">
        <x:is>
          <x:t xml:space="preserve">Подряд</x:t>
        </x:is>
      </x:c>
      <x:c r="F31" s="3" t="inlineStr">
        <x:is>
          <x:t xml:space="preserve">Подряд: дизайн (иллюстрации)</x:t>
        </x:is>
      </x:c>
      <x:c r="G31" s="2" t="inlineStr">
        <x:is>
          <x:t xml:space="preserve">Designer</x:t>
        </x:is>
      </x:c>
      <x:c r="H31" s="4" t="n">
        <x:v>51300</x:v>
      </x:c>
      <x:c r="I31" s="4" t="n">
        <x:v>35000</x:v>
      </x:c>
      <x:c r="J31" s="4">
        <x:f>IF($I31="","",$I31-$H31)</x:f>
        <x:v>-16300</x:v>
      </x:c>
      <x:c r="K31" s="5">
        <x:f>IF($I31="","",($I31-$H31)/$H31)</x:f>
        <x:v>-0.31773879142300193</x:v>
      </x:c>
      <x:c r="L31" s="2" t="str">
        <x:f>IF($I31="","Planned",IF($I31&gt;$H31,"Over",IF($I31&lt;$H31,"Under","On plan")))</x:f>
        <x:v>Under</x:v>
      </x:c>
      <x:c r="M31" s="2">
        <x:f>IF($I31="","",IF(AND($J31&gt;50000,$K31&gt;0.2),"CRITICAL",""))</x:f>
      </x:c>
      <x:c r="N31" s="2" t="inlineStr">
        <x:is>
          <x:t xml:space="preserve">Yes</x:t>
        </x:is>
      </x:c>
      <x:c r="O31" s="3" t="inlineStr">
        <x:is>
          <x:t xml:space="preserve">экономия: часть задач сделали силами команды без подрядчика</x:t>
        </x:is>
      </x:c>
    </x:row>
    <x:row r="32">
      <x:c r="A32" s="2" t="n">
        <x:v>31</x:v>
      </x:c>
      <x:c r="B32" s="2" t="inlineStr">
        <x:is>
          <x:t xml:space="preserve">PRJ-301</x:t>
        </x:is>
      </x:c>
      <x:c r="C32" s="2" t="inlineStr">
        <x:is>
          <x:t xml:space="preserve">2025-02</x:t>
        </x:is>
      </x:c>
      <x:c r="D32" s="2" t="inlineStr">
        <x:is>
          <x:t xml:space="preserve">Closed</x:t>
        </x:is>
      </x:c>
      <x:c r="E32" s="3" t="inlineStr">
        <x:is>
          <x:t xml:space="preserve">Подряд</x:t>
        </x:is>
      </x:c>
      <x:c r="F32" s="3" t="inlineStr">
        <x:is>
          <x:t xml:space="preserve">Подряд: UX-исследование</x:t>
        </x:is>
      </x:c>
      <x:c r="G32" s="2" t="inlineStr">
        <x:is>
          <x:t xml:space="preserve">Analyst</x:t>
        </x:is>
      </x:c>
      <x:c r="H32" s="4" t="n">
        <x:v>42100</x:v>
      </x:c>
      <x:c r="I32" s="4" t="n">
        <x:v>44200</x:v>
      </x:c>
      <x:c r="J32" s="4">
        <x:f>IF($I32="","",$I32-$H32)</x:f>
        <x:v>2100</x:v>
      </x:c>
      <x:c r="K32" s="5">
        <x:f>IF($I32="","",($I32-$H32)/$H32)</x:f>
        <x:v>0.0498812351543943</x:v>
      </x:c>
      <x:c r="L32" s="2" t="str">
        <x:f>IF($I32="","Planned",IF($I32&gt;$H32,"Over",IF($I32&lt;$H32,"Under","On plan")))</x:f>
        <x:v>Over</x:v>
      </x:c>
      <x:c r="M32" s="2">
        <x:f>IF($I32="","",IF(AND($J32&gt;50000,$K32&gt;0.2),"CRITICAL",""))</x:f>
      </x:c>
      <x:c r="N32" s="2" t="inlineStr">
        <x:is>
          <x:t xml:space="preserve">Yes</x:t>
        </x:is>
      </x:c>
      <x:c r="O32" s="3" t="inlineStr">
        <x:is>
          <x:t xml:space="preserve">перерасход: переработки подрядчика из‑за изменения требований</x:t>
        </x:is>
      </x:c>
    </x:row>
    <x:row r="33">
      <x:c r="A33" s="2" t="n">
        <x:v>32</x:v>
      </x:c>
      <x:c r="B33" s="2" t="inlineStr">
        <x:is>
          <x:t xml:space="preserve">PRJ-301</x:t>
        </x:is>
      </x:c>
      <x:c r="C33" s="2" t="inlineStr">
        <x:is>
          <x:t xml:space="preserve">2025-02</x:t>
        </x:is>
      </x:c>
      <x:c r="D33" s="2" t="inlineStr">
        <x:is>
          <x:t xml:space="preserve">Closed</x:t>
        </x:is>
      </x:c>
      <x:c r="E33" s="3" t="inlineStr">
        <x:is>
          <x:t xml:space="preserve">Подряд</x:t>
        </x:is>
      </x:c>
      <x:c r="F33" s="3" t="inlineStr">
        <x:is>
          <x:t xml:space="preserve">Подряд: аналитика/BI</x:t>
        </x:is>
      </x:c>
      <x:c r="G33" s="2" t="inlineStr">
        <x:is>
          <x:t xml:space="preserve">Analyst</x:t>
        </x:is>
      </x:c>
      <x:c r="H33" s="4" t="n">
        <x:v>52300</x:v>
      </x:c>
      <x:c r="I33" s="4" t="n">
        <x:v>55900</x:v>
      </x:c>
      <x:c r="J33" s="4">
        <x:f>IF($I33="","",$I33-$H33)</x:f>
        <x:v>3600</x:v>
      </x:c>
      <x:c r="K33" s="5">
        <x:f>IF($I33="","",($I33-$H33)/$H33)</x:f>
        <x:v>0.06883365200764818</x:v>
      </x:c>
      <x:c r="L33" s="2" t="str">
        <x:f>IF($I33="","Planned",IF($I33&gt;$H33,"Over",IF($I33&lt;$H33,"Under","On plan")))</x:f>
        <x:v>Over</x:v>
      </x:c>
      <x:c r="M33" s="2">
        <x:f>IF($I33="","",IF(AND($J33&gt;50000,$K33&gt;0.2),"CRITICAL",""))</x:f>
      </x:c>
      <x:c r="N33" s="2" t="inlineStr">
        <x:is>
          <x:t xml:space="preserve">Yes</x:t>
        </x:is>
      </x:c>
      <x:c r="O33" s="3" t="inlineStr">
        <x:is>
          <x:t xml:space="preserve">перерасход: расширили ТЗ, увеличился объём работ подрядчика</x:t>
        </x:is>
      </x:c>
    </x:row>
    <x:row r="34">
      <x:c r="A34" s="2" t="n">
        <x:v>33</x:v>
      </x:c>
      <x:c r="B34" s="2" t="inlineStr">
        <x:is>
          <x:t xml:space="preserve">PRJ-301</x:t>
        </x:is>
      </x:c>
      <x:c r="C34" s="2" t="inlineStr">
        <x:is>
          <x:t xml:space="preserve">2025-02</x:t>
        </x:is>
      </x:c>
      <x:c r="D34" s="2" t="inlineStr">
        <x:is>
          <x:t xml:space="preserve">Closed</x:t>
        </x:is>
      </x:c>
      <x:c r="E34" s="3" t="inlineStr">
        <x:is>
          <x:t xml:space="preserve">Подряд</x:t>
        </x:is>
      </x:c>
      <x:c r="F34" s="3" t="inlineStr">
        <x:is>
          <x:t xml:space="preserve">Подряд: разработка (внешние)</x:t>
        </x:is>
      </x:c>
      <x:c r="G34" s="2" t="inlineStr">
        <x:is>
          <x:t xml:space="preserve">Team Lead</x:t>
        </x:is>
      </x:c>
      <x:c r="H34" s="4" t="n">
        <x:v>81400</x:v>
      </x:c>
      <x:c r="I34" s="4" t="n">
        <x:v>90900</x:v>
      </x:c>
      <x:c r="J34" s="4">
        <x:f>IF($I34="","",$I34-$H34)</x:f>
        <x:v>9500</x:v>
      </x:c>
      <x:c r="K34" s="5">
        <x:f>IF($I34="","",($I34-$H34)/$H34)</x:f>
        <x:v>0.1167076167076167</x:v>
      </x:c>
      <x:c r="L34" s="2" t="str">
        <x:f>IF($I34="","Planned",IF($I34&gt;$H34,"Over",IF($I34&lt;$H34,"Under","On plan")))</x:f>
        <x:v>Over</x:v>
      </x:c>
      <x:c r="M34" s="2">
        <x:f>IF($I34="","",IF(AND($J34&gt;50000,$K34&gt;0.2),"CRITICAL",""))</x:f>
      </x:c>
      <x:c r="N34" s="2" t="inlineStr">
        <x:is>
          <x:t xml:space="preserve">Yes</x:t>
        </x:is>
      </x:c>
      <x:c r="O34" s="3" t="inlineStr">
        <x:is>
          <x:t xml:space="preserve">перерасход: потребовались дополнительные экспертизы/аудит</x:t>
        </x:is>
      </x:c>
    </x:row>
    <x:row r="35">
      <x:c r="A35" s="2" t="n">
        <x:v>34</x:v>
      </x:c>
      <x:c r="B35" s="2" t="inlineStr">
        <x:is>
          <x:t xml:space="preserve">PRJ-301</x:t>
        </x:is>
      </x:c>
      <x:c r="C35" s="2" t="inlineStr">
        <x:is>
          <x:t xml:space="preserve">2025-02</x:t>
        </x:is>
      </x:c>
      <x:c r="D35" s="2" t="inlineStr">
        <x:is>
          <x:t xml:space="preserve">Closed</x:t>
        </x:is>
      </x:c>
      <x:c r="E35" s="3" t="inlineStr">
        <x:is>
          <x:t xml:space="preserve">Маркетинг</x:t>
        </x:is>
      </x:c>
      <x:c r="F35" s="3" t="inlineStr">
        <x:is>
          <x:t xml:space="preserve">Маркетинг: лендинг</x:t>
        </x:is>
      </x:c>
      <x:c r="G35" s="2" t="inlineStr">
        <x:is>
          <x:t xml:space="preserve">Marketing</x:t>
        </x:is>
      </x:c>
      <x:c r="H35" s="4" t="n">
        <x:v>9500</x:v>
      </x:c>
      <x:c r="I35" s="4" t="n">
        <x:v>7800</x:v>
      </x:c>
      <x:c r="J35" s="4">
        <x:f>IF($I35="","",$I35-$H35)</x:f>
        <x:v>-1700</x:v>
      </x:c>
      <x:c r="K35" s="5">
        <x:f>IF($I35="","",($I35-$H35)/$H35)</x:f>
        <x:v>-0.17894736842105263</x:v>
      </x:c>
      <x:c r="L35" s="2" t="str">
        <x:f>IF($I35="","Planned",IF($I35&gt;$H35,"Over",IF($I35&lt;$H35,"Under","On plan")))</x:f>
        <x:v>Under</x:v>
      </x:c>
      <x:c r="M35" s="2">
        <x:f>IF($I35="","",IF(AND($J35&gt;50000,$K35&gt;0.2),"CRITICAL",""))</x:f>
      </x:c>
      <x:c r="N35" s="2" t="inlineStr">
        <x:is>
          <x:t xml:space="preserve">Yes</x:t>
        </x:is>
      </x:c>
      <x:c r="O35" s="3" t="inlineStr">
        <x:is>
          <x:t xml:space="preserve">по плану: фактическая сумма соответствует договору/тарифу</x:t>
        </x:is>
      </x:c>
    </x:row>
    <x:row r="36">
      <x:c r="A36" s="2" t="n">
        <x:v>35</x:v>
      </x:c>
      <x:c r="B36" s="2" t="inlineStr">
        <x:is>
          <x:t xml:space="preserve">PRJ-301</x:t>
        </x:is>
      </x:c>
      <x:c r="C36" s="2" t="inlineStr">
        <x:is>
          <x:t xml:space="preserve">2025-02</x:t>
        </x:is>
      </x:c>
      <x:c r="D36" s="2" t="inlineStr">
        <x:is>
          <x:t xml:space="preserve">Closed</x:t>
        </x:is>
      </x:c>
      <x:c r="E36" s="3" t="inlineStr">
        <x:is>
          <x:t xml:space="preserve">Маркетинг</x:t>
        </x:is>
      </x:c>
      <x:c r="F36" s="3" t="inlineStr">
        <x:is>
          <x:t xml:space="preserve">Маркетинг: реклама (контекст)</x:t>
        </x:is>
      </x:c>
      <x:c r="G36" s="2" t="inlineStr">
        <x:is>
          <x:t xml:space="preserve">Marketing</x:t>
        </x:is>
      </x:c>
      <x:c r="H36" s="4" t="n">
        <x:v>13600</x:v>
      </x:c>
      <x:c r="I36" s="4" t="n">
        <x:v>16400</x:v>
      </x:c>
      <x:c r="J36" s="4">
        <x:f>IF($I36="","",$I36-$H36)</x:f>
        <x:v>2800</x:v>
      </x:c>
      <x:c r="K36" s="5">
        <x:f>IF($I36="","",($I36-$H36)/$H36)</x:f>
        <x:v>0.20588235294117646</x:v>
      </x:c>
      <x:c r="L36" s="2" t="str">
        <x:f>IF($I36="","Planned",IF($I36&gt;$H36,"Over",IF($I36&lt;$H36,"Under","On plan")))</x:f>
        <x:v>Over</x:v>
      </x:c>
      <x:c r="M36" s="2">
        <x:f>IF($I36="","",IF(AND($J36&gt;50000,$K36&gt;0.2),"CRITICAL",""))</x:f>
      </x:c>
      <x:c r="N36" s="2" t="inlineStr">
        <x:is>
          <x:t xml:space="preserve">Yes</x:t>
        </x:is>
      </x:c>
      <x:c r="O36" s="3" t="inlineStr">
        <x:is>
          <x:t xml:space="preserve">перерасход: добавили продакшн материалов и размещения</x:t>
        </x:is>
      </x:c>
    </x:row>
    <x:row r="37">
      <x:c r="A37" s="2" t="n">
        <x:v>36</x:v>
      </x:c>
      <x:c r="B37" s="2" t="inlineStr">
        <x:is>
          <x:t xml:space="preserve">PRJ-301</x:t>
        </x:is>
      </x:c>
      <x:c r="C37" s="2" t="inlineStr">
        <x:is>
          <x:t xml:space="preserve">2025-02</x:t>
        </x:is>
      </x:c>
      <x:c r="D37" s="2" t="inlineStr">
        <x:is>
          <x:t xml:space="preserve">Closed</x:t>
        </x:is>
      </x:c>
      <x:c r="E37" s="3" t="inlineStr">
        <x:is>
          <x:t xml:space="preserve">Маркетинг</x:t>
        </x:is>
      </x:c>
      <x:c r="F37" s="3" t="inlineStr">
        <x:is>
          <x:t xml:space="preserve">Маркетинг: контент/копирайт</x:t>
        </x:is>
      </x:c>
      <x:c r="G37" s="2" t="inlineStr">
        <x:is>
          <x:t xml:space="preserve">Marketing</x:t>
        </x:is>
      </x:c>
      <x:c r="H37" s="4" t="n">
        <x:v>22600</x:v>
      </x:c>
      <x:c r="I37" s="4" t="n">
        <x:v>24300</x:v>
      </x:c>
      <x:c r="J37" s="4">
        <x:f>IF($I37="","",$I37-$H37)</x:f>
        <x:v>1700</x:v>
      </x:c>
      <x:c r="K37" s="5">
        <x:f>IF($I37="","",($I37-$H37)/$H37)</x:f>
        <x:v>0.0752212389380531</x:v>
      </x:c>
      <x:c r="L37" s="2" t="str">
        <x:f>IF($I37="","Planned",IF($I37&gt;$H37,"Over",IF($I37&lt;$H37,"Under","On plan")))</x:f>
        <x:v>Over</x:v>
      </x:c>
      <x:c r="M37" s="2">
        <x:f>IF($I37="","",IF(AND($J37&gt;50000,$K37&gt;0.2),"CRITICAL",""))</x:f>
      </x:c>
      <x:c r="N37" s="2" t="inlineStr">
        <x:is>
          <x:t xml:space="preserve">Yes</x:t>
        </x:is>
      </x:c>
      <x:c r="O37" s="3" t="inlineStr">
        <x:is>
          <x:t xml:space="preserve">по плану: расход соответствует смете, отклонение в пределах допуска</x:t>
        </x:is>
      </x:c>
    </x:row>
    <x:row r="38">
      <x:c r="A38" s="2" t="n">
        <x:v>37</x:v>
      </x:c>
      <x:c r="B38" s="2" t="inlineStr">
        <x:is>
          <x:t xml:space="preserve">PRJ-301</x:t>
        </x:is>
      </x:c>
      <x:c r="C38" s="2" t="inlineStr">
        <x:is>
          <x:t xml:space="preserve">2025-02</x:t>
        </x:is>
      </x:c>
      <x:c r="D38" s="2" t="inlineStr">
        <x:is>
          <x:t xml:space="preserve">Closed</x:t>
        </x:is>
      </x:c>
      <x:c r="E38" s="3" t="inlineStr">
        <x:is>
          <x:t xml:space="preserve">Железо</x:t>
        </x:is>
      </x:c>
      <x:c r="F38" s="3" t="inlineStr">
        <x:is>
          <x:t xml:space="preserve">Тестовые устройства (QA)</x:t>
        </x:is>
      </x:c>
      <x:c r="G38" s="2" t="inlineStr">
        <x:is>
          <x:t xml:space="preserve">QA</x:t>
        </x:is>
      </x:c>
      <x:c r="H38" s="4" t="n">
        <x:v>63100</x:v>
      </x:c>
      <x:c r="I38" s="4" t="n">
        <x:v>56500</x:v>
      </x:c>
      <x:c r="J38" s="4">
        <x:f>IF($I38="","",$I38-$H38)</x:f>
        <x:v>-6600</x:v>
      </x:c>
      <x:c r="K38" s="5">
        <x:f>IF($I38="","",($I38-$H38)/$H38)</x:f>
        <x:v>-0.1045958795562599</x:v>
      </x:c>
      <x:c r="L38" s="2" t="str">
        <x:f>IF($I38="","Planned",IF($I38&gt;$H38,"Over",IF($I38&lt;$H38,"Under","On plan")))</x:f>
        <x:v>Under</x:v>
      </x:c>
      <x:c r="M38" s="2">
        <x:f>IF($I38="","",IF(AND($J38&gt;50000,$K38&gt;0.2),"CRITICAL",""))</x:f>
      </x:c>
      <x:c r="N38" s="2" t="inlineStr">
        <x:is>
          <x:t xml:space="preserve">Yes</x:t>
        </x:is>
      </x:c>
      <x:c r="O38" s="3" t="inlineStr">
        <x:is>
          <x:t xml:space="preserve">экономия: часть поставки перенесли на следующий месяц</x:t>
        </x:is>
      </x:c>
    </x:row>
    <x:row r="39">
      <x:c r="A39" s="2" t="n">
        <x:v>38</x:v>
      </x:c>
      <x:c r="B39" s="2" t="inlineStr">
        <x:is>
          <x:t xml:space="preserve">PRJ-301</x:t>
        </x:is>
      </x:c>
      <x:c r="C39" s="2" t="inlineStr">
        <x:is>
          <x:t xml:space="preserve">2025-02</x:t>
        </x:is>
      </x:c>
      <x:c r="D39" s="2" t="inlineStr">
        <x:is>
          <x:t xml:space="preserve">Closed</x:t>
        </x:is>
      </x:c>
      <x:c r="E39" s="3" t="inlineStr">
        <x:is>
          <x:t xml:space="preserve">Железо</x:t>
        </x:is>
      </x:c>
      <x:c r="F39" s="3" t="inlineStr">
        <x:is>
          <x:t xml:space="preserve">Сервер/мини-ПК для стенда</x:t>
        </x:is>
      </x:c>
      <x:c r="G39" s="2" t="inlineStr">
        <x:is>
          <x:t xml:space="preserve">DevOps</x:t>
        </x:is>
      </x:c>
      <x:c r="H39" s="4" t="n">
        <x:v>102200</x:v>
      </x:c>
      <x:c r="I39" s="4" t="n">
        <x:v>123100</x:v>
      </x:c>
      <x:c r="J39" s="4">
        <x:f>IF($I39="","",$I39-$H39)</x:f>
        <x:v>20900</x:v>
      </x:c>
      <x:c r="K39" s="5">
        <x:f>IF($I39="","",($I39-$H39)/$H39)</x:f>
        <x:v>0.2045009784735812</x:v>
      </x:c>
      <x:c r="L39" s="2" t="str">
        <x:f>IF($I39="","Planned",IF($I39&gt;$H39,"Over",IF($I39&lt;$H39,"Under","On plan")))</x:f>
        <x:v>Over</x:v>
      </x:c>
      <x:c r="M39" s="2">
        <x:f>IF($I39="","",IF(AND($J39&gt;50000,$K39&gt;0.2),"CRITICAL",""))</x:f>
      </x:c>
      <x:c r="N39" s="2" t="inlineStr">
        <x:is>
          <x:t xml:space="preserve">Yes</x:t>
        </x:is>
      </x:c>
      <x:c r="O39" s="3" t="inlineStr">
        <x:is>
          <x:t xml:space="preserve">перерасход: рост цен на комплектующие и доставку</x:t>
        </x:is>
      </x:c>
    </x:row>
    <x:row r="40">
      <x:c r="A40" s="2" t="n">
        <x:v>39</x:v>
      </x:c>
      <x:c r="B40" s="2" t="inlineStr">
        <x:is>
          <x:t xml:space="preserve">PRJ-301</x:t>
        </x:is>
      </x:c>
      <x:c r="C40" s="2" t="inlineStr">
        <x:is>
          <x:t xml:space="preserve">2025-02</x:t>
        </x:is>
      </x:c>
      <x:c r="D40" s="2" t="inlineStr">
        <x:is>
          <x:t xml:space="preserve">Closed</x:t>
        </x:is>
      </x:c>
      <x:c r="E40" s="3" t="inlineStr">
        <x:is>
          <x:t xml:space="preserve">Железо</x:t>
        </x:is>
      </x:c>
      <x:c r="F40" s="3" t="inlineStr">
        <x:is>
          <x:t xml:space="preserve">Периферия (кабели/адаптеры)</x:t>
        </x:is>
      </x:c>
      <x:c r="G40" s="2" t="inlineStr">
        <x:is>
          <x:t xml:space="preserve">DevOps</x:t>
        </x:is>
      </x:c>
      <x:c r="H40" s="4" t="n">
        <x:v>3600</x:v>
      </x:c>
      <x:c r="I40" s="4" t="n">
        <x:v>2000</x:v>
      </x:c>
      <x:c r="J40" s="4">
        <x:f>IF($I40="","",$I40-$H40)</x:f>
        <x:v>-1600</x:v>
      </x:c>
      <x:c r="K40" s="5">
        <x:f>IF($I40="","",($I40-$H40)/$H40)</x:f>
        <x:v>-0.4444444444444444</x:v>
      </x:c>
      <x:c r="L40" s="2" t="str">
        <x:f>IF($I40="","Planned",IF($I40&gt;$H40,"Over",IF($I40&lt;$H40,"Under","On plan")))</x:f>
        <x:v>Under</x:v>
      </x:c>
      <x:c r="M40" s="2">
        <x:f>IF($I40="","",IF(AND($J40&gt;50000,$K40&gt;0.2),"CRITICAL",""))</x:f>
      </x:c>
      <x:c r="N40" s="2" t="inlineStr">
        <x:is>
          <x:t xml:space="preserve">Yes</x:t>
        </x:is>
      </x:c>
      <x:c r="O40" s="3" t="inlineStr">
        <x:is>
          <x:t xml:space="preserve">по плану: небольшое отклонение связано с округлением/датой списания</x:t>
        </x:is>
      </x:c>
    </x:row>
    <x:row r="41">
      <x:c r="A41" s="2" t="n">
        <x:v>40</x:v>
      </x:c>
      <x:c r="B41" s="2" t="inlineStr">
        <x:is>
          <x:t xml:space="preserve">PRJ-301</x:t>
        </x:is>
      </x:c>
      <x:c r="C41" s="2" t="inlineStr">
        <x:is>
          <x:t xml:space="preserve">2025-02</x:t>
        </x:is>
      </x:c>
      <x:c r="D41" s="2" t="inlineStr">
        <x:is>
          <x:t xml:space="preserve">Closed</x:t>
        </x:is>
      </x:c>
      <x:c r="E41" s="3" t="inlineStr">
        <x:is>
          <x:t xml:space="preserve">Данные</x:t>
        </x:is>
      </x:c>
      <x:c r="F41" s="3" t="inlineStr">
        <x:is>
          <x:t xml:space="preserve">Покупка датасета/доступ</x:t>
        </x:is>
      </x:c>
      <x:c r="G41" s="2" t="inlineStr">
        <x:is>
          <x:t xml:space="preserve">Analyst</x:t>
        </x:is>
      </x:c>
      <x:c r="H41" s="4" t="n">
        <x:v>42300</x:v>
      </x:c>
      <x:c r="I41" s="4" t="n">
        <x:v>71500</x:v>
      </x:c>
      <x:c r="J41" s="4">
        <x:f>IF($I41="","",$I41-$H41)</x:f>
        <x:v>29200</x:v>
      </x:c>
      <x:c r="K41" s="5">
        <x:f>IF($I41="","",($I41-$H41)/$H41)</x:f>
        <x:v>0.6903073286052009</x:v>
      </x:c>
      <x:c r="L41" s="2" t="str">
        <x:f>IF($I41="","Planned",IF($I41&gt;$H41,"Over",IF($I41&lt;$H41,"Under","On plan")))</x:f>
        <x:v>Over</x:v>
      </x:c>
      <x:c r="M41" s="2">
        <x:f>IF($I41="","",IF(AND($J41&gt;50000,$K41&gt;0.2),"CRITICAL",""))</x:f>
      </x:c>
      <x:c r="N41" s="2" t="inlineStr">
        <x:is>
          <x:t xml:space="preserve">Yes</x:t>
        </x:is>
      </x:c>
      <x:c r="O41" s="3" t="inlineStr">
        <x:is>
          <x:t xml:space="preserve">перерасход: увеличили объём хранения/обработки данных</x:t>
        </x:is>
      </x:c>
    </x:row>
    <x:row r="42">
      <x:c r="A42" s="2" t="n">
        <x:v>41</x:v>
      </x:c>
      <x:c r="B42" s="2" t="inlineStr">
        <x:is>
          <x:t xml:space="preserve">PRJ-301</x:t>
        </x:is>
      </x:c>
      <x:c r="C42" s="2" t="inlineStr">
        <x:is>
          <x:t xml:space="preserve">2025-02</x:t>
        </x:is>
      </x:c>
      <x:c r="D42" s="2" t="inlineStr">
        <x:is>
          <x:t xml:space="preserve">Closed</x:t>
        </x:is>
      </x:c>
      <x:c r="E42" s="3" t="inlineStr">
        <x:is>
          <x:t xml:space="preserve">Данные</x:t>
        </x:is>
      </x:c>
      <x:c r="F42" s="3" t="inlineStr">
        <x:is>
          <x:t xml:space="preserve">Разметка данных (аутсорс)</x:t>
        </x:is>
      </x:c>
      <x:c r="G42" s="2" t="inlineStr">
        <x:is>
          <x:t xml:space="preserve">Analyst</x:t>
        </x:is>
      </x:c>
      <x:c r="H42" s="4" t="n">
        <x:v>82700</x:v>
      </x:c>
      <x:c r="I42" s="4" t="n">
        <x:v>95700</x:v>
      </x:c>
      <x:c r="J42" s="4">
        <x:f>IF($I42="","",$I42-$H42)</x:f>
        <x:v>13000</x:v>
      </x:c>
      <x:c r="K42" s="5">
        <x:f>IF($I42="","",($I42-$H42)/$H42)</x:f>
        <x:v>0.15719467956469166</x:v>
      </x:c>
      <x:c r="L42" s="2" t="str">
        <x:f>IF($I42="","Planned",IF($I42&gt;$H42,"Over",IF($I42&lt;$H42,"Under","On plan")))</x:f>
        <x:v>Over</x:v>
      </x:c>
      <x:c r="M42" s="2">
        <x:f>IF($I42="","",IF(AND($J42&gt;50000,$K42&gt;0.2),"CRITICAL",""))</x:f>
      </x:c>
      <x:c r="N42" s="2" t="inlineStr">
        <x:is>
          <x:t xml:space="preserve">Yes</x:t>
        </x:is>
      </x:c>
      <x:c r="O42" s="3" t="inlineStr">
        <x:is>
          <x:t xml:space="preserve">перерасход: дополнительные вычисления для обработки данных</x:t>
        </x:is>
      </x:c>
    </x:row>
    <x:row r="43">
      <x:c r="A43" s="2" t="n">
        <x:v>42</x:v>
      </x:c>
      <x:c r="B43" s="2" t="inlineStr">
        <x:is>
          <x:t xml:space="preserve">PRJ-301</x:t>
        </x:is>
      </x:c>
      <x:c r="C43" s="2" t="inlineStr">
        <x:is>
          <x:t xml:space="preserve">2025-02</x:t>
        </x:is>
      </x:c>
      <x:c r="D43" s="2" t="inlineStr">
        <x:is>
          <x:t xml:space="preserve">Closed</x:t>
        </x:is>
      </x:c>
      <x:c r="E43" s="3" t="inlineStr">
        <x:is>
          <x:t xml:space="preserve">Юридическое</x:t>
        </x:is>
      </x:c>
      <x:c r="F43" s="3" t="inlineStr">
        <x:is>
          <x:t xml:space="preserve">Договоры/юридическая проверка</x:t>
        </x:is>
      </x:c>
      <x:c r="G43" s="2" t="inlineStr">
        <x:is>
          <x:t xml:space="preserve">PM</x:t>
        </x:is>
      </x:c>
      <x:c r="H43" s="4" t="n">
        <x:v>10500</x:v>
      </x:c>
      <x:c r="I43" s="4" t="n">
        <x:v>9700</x:v>
      </x:c>
      <x:c r="J43" s="4">
        <x:f>IF($I43="","",$I43-$H43)</x:f>
        <x:v>-800</x:v>
      </x:c>
      <x:c r="K43" s="5">
        <x:f>IF($I43="","",($I43-$H43)/$H43)</x:f>
        <x:v>-0.0761904761904762</x:v>
      </x:c>
      <x:c r="L43" s="2" t="str">
        <x:f>IF($I43="","Planned",IF($I43&gt;$H43,"Over",IF($I43&lt;$H43,"Under","On plan")))</x:f>
        <x:v>Under</x:v>
      </x:c>
      <x:c r="M43" s="2">
        <x:f>IF($I43="","",IF(AND($J43&gt;50000,$K43&gt;0.2),"CRITICAL",""))</x:f>
      </x:c>
      <x:c r="N43" s="2" t="inlineStr">
        <x:is>
          <x:t xml:space="preserve">Yes</x:t>
        </x:is>
      </x:c>
      <x:c r="O43" s="3" t="inlineStr">
        <x:is>
          <x:t xml:space="preserve">по плану: фактическая сумма соответствует договору/тарифу</x:t>
        </x:is>
      </x:c>
    </x:row>
    <x:row r="44">
      <x:c r="A44" s="2" t="n">
        <x:v>43</x:v>
      </x:c>
      <x:c r="B44" s="2" t="inlineStr">
        <x:is>
          <x:t xml:space="preserve">PRJ-301</x:t>
        </x:is>
      </x:c>
      <x:c r="C44" s="2" t="inlineStr">
        <x:is>
          <x:t xml:space="preserve">2025-02</x:t>
        </x:is>
      </x:c>
      <x:c r="D44" s="2" t="inlineStr">
        <x:is>
          <x:t xml:space="preserve">Closed</x:t>
        </x:is>
      </x:c>
      <x:c r="E44" s="3" t="inlineStr">
        <x:is>
          <x:t xml:space="preserve">Команда</x:t>
        </x:is>
      </x:c>
      <x:c r="F44" s="3" t="inlineStr">
        <x:is>
          <x:t xml:space="preserve">Обучение/курсы</x:t>
        </x:is>
      </x:c>
      <x:c r="G44" s="2" t="inlineStr">
        <x:is>
          <x:t xml:space="preserve">PM</x:t>
        </x:is>
      </x:c>
      <x:c r="H44" s="4" t="n">
        <x:v>37400</x:v>
      </x:c>
      <x:c r="I44" s="4" t="n">
        <x:v>36800</x:v>
      </x:c>
      <x:c r="J44" s="4">
        <x:f>IF($I44="","",$I44-$H44)</x:f>
        <x:v>-600</x:v>
      </x:c>
      <x:c r="K44" s="5">
        <x:f>IF($I44="","",($I44-$H44)/$H44)</x:f>
        <x:v>-0.016042780748663103</x:v>
      </x:c>
      <x:c r="L44" s="2" t="str">
        <x:f>IF($I44="","Planned",IF($I44&gt;$H44,"Over",IF($I44&lt;$H44,"Under","On plan")))</x:f>
        <x:v>Under</x:v>
      </x:c>
      <x:c r="M44" s="2">
        <x:f>IF($I44="","",IF(AND($J44&gt;50000,$K44&gt;0.2),"CRITICAL",""))</x:f>
      </x:c>
      <x:c r="N44" s="2" t="inlineStr">
        <x:is>
          <x:t xml:space="preserve">Yes</x:t>
        </x:is>
      </x:c>
      <x:c r="O44" s="3" t="inlineStr">
        <x:is>
          <x:t xml:space="preserve">по плану: закрыли месяц без существенных отклонений</x:t>
        </x:is>
      </x:c>
    </x:row>
    <x:row r="45">
      <x:c r="A45" s="2" t="n">
        <x:v>44</x:v>
      </x:c>
      <x:c r="B45" s="2" t="inlineStr">
        <x:is>
          <x:t xml:space="preserve">PRJ-301</x:t>
        </x:is>
      </x:c>
      <x:c r="C45" s="2" t="inlineStr">
        <x:is>
          <x:t xml:space="preserve">2025-02</x:t>
        </x:is>
      </x:c>
      <x:c r="D45" s="2" t="inlineStr">
        <x:is>
          <x:t xml:space="preserve">Closed</x:t>
        </x:is>
      </x:c>
      <x:c r="E45" s="3" t="inlineStr">
        <x:is>
          <x:t xml:space="preserve">Команда</x:t>
        </x:is>
      </x:c>
      <x:c r="F45" s="3" t="inlineStr">
        <x:is>
          <x:t xml:space="preserve">Мероприятия/конференции</x:t>
        </x:is>
      </x:c>
      <x:c r="G45" s="2" t="inlineStr">
        <x:is>
          <x:t xml:space="preserve">PM</x:t>
        </x:is>
      </x:c>
      <x:c r="H45" s="4" t="n">
        <x:v>41100</x:v>
      </x:c>
      <x:c r="I45" s="4" t="n">
        <x:v>44200</x:v>
      </x:c>
      <x:c r="J45" s="4">
        <x:f>IF($I45="","",$I45-$H45)</x:f>
        <x:v>3100</x:v>
      </x:c>
      <x:c r="K45" s="5">
        <x:f>IF($I45="","",($I45-$H45)/$H45)</x:f>
        <x:v>0.07542579075425791</x:v>
      </x:c>
      <x:c r="L45" s="2" t="str">
        <x:f>IF($I45="","Planned",IF($I45&gt;$H45,"Over",IF($I45&lt;$H45,"Under","On plan")))</x:f>
        <x:v>Over</x:v>
      </x:c>
      <x:c r="M45" s="2">
        <x:f>IF($I45="","",IF(AND($J45&gt;50000,$K45&gt;0.2),"CRITICAL",""))</x:f>
      </x:c>
      <x:c r="N45" s="2" t="inlineStr">
        <x:is>
          <x:t xml:space="preserve">Yes</x:t>
        </x:is>
      </x:c>
      <x:c r="O45" s="3" t="inlineStr">
        <x:is>
          <x:t xml:space="preserve">перерасход: оплата сверхурочных из‑за сжатых сроков</x:t>
        </x:is>
      </x:c>
    </x:row>
    <x:row r="46">
      <x:c r="A46" s="2" t="n">
        <x:v>45</x:v>
      </x:c>
      <x:c r="B46" s="2" t="inlineStr">
        <x:is>
          <x:t xml:space="preserve">PRJ-301</x:t>
        </x:is>
      </x:c>
      <x:c r="C46" s="2" t="inlineStr">
        <x:is>
          <x:t xml:space="preserve">2025-02</x:t>
        </x:is>
      </x:c>
      <x:c r="D46" s="2" t="inlineStr">
        <x:is>
          <x:t xml:space="preserve">Closed</x:t>
        </x:is>
      </x:c>
      <x:c r="E46" s="3" t="inlineStr">
        <x:is>
          <x:t xml:space="preserve">Команда</x:t>
        </x:is>
      </x:c>
      <x:c r="F46" s="3" t="inlineStr">
        <x:is>
          <x:t xml:space="preserve">Командировки/проезд</x:t>
        </x:is>
      </x:c>
      <x:c r="G46" s="2" t="inlineStr">
        <x:is>
          <x:t xml:space="preserve">PM</x:t>
        </x:is>
      </x:c>
      <x:c r="H46" s="4" t="n">
        <x:v>8300</x:v>
      </x:c>
      <x:c r="I46" s="4" t="n">
        <x:v>7300</x:v>
      </x:c>
      <x:c r="J46" s="4">
        <x:f>IF($I46="","",$I46-$H46)</x:f>
        <x:v>-1000</x:v>
      </x:c>
      <x:c r="K46" s="5">
        <x:f>IF($I46="","",($I46-$H46)/$H46)</x:f>
        <x:v>-0.12048192771084337</x:v>
      </x:c>
      <x:c r="L46" s="2" t="str">
        <x:f>IF($I46="","Planned",IF($I46&gt;$H46,"Over",IF($I46&lt;$H46,"Under","On plan")))</x:f>
        <x:v>Under</x:v>
      </x:c>
      <x:c r="M46" s="2">
        <x:f>IF($I46="","",IF(AND($J46&gt;50000,$K46&gt;0.2),"CRITICAL",""))</x:f>
      </x:c>
      <x:c r="N46" s="2" t="inlineStr">
        <x:is>
          <x:t xml:space="preserve">Yes</x:t>
        </x:is>
      </x:c>
      <x:c r="O46" s="3" t="inlineStr">
        <x:is>
          <x:t xml:space="preserve">по плану: расход соответствует смете, отклонение в пределах допуска</x:t>
        </x:is>
      </x:c>
    </x:row>
    <x:row r="47">
      <x:c r="A47" s="2" t="n">
        <x:v>46</x:v>
      </x:c>
      <x:c r="B47" s="2" t="inlineStr">
        <x:is>
          <x:t xml:space="preserve">PRJ-301</x:t>
        </x:is>
      </x:c>
      <x:c r="C47" s="2" t="inlineStr">
        <x:is>
          <x:t xml:space="preserve">2025-02</x:t>
        </x:is>
      </x:c>
      <x:c r="D47" s="2" t="inlineStr">
        <x:is>
          <x:t xml:space="preserve">Closed</x:t>
        </x:is>
      </x:c>
      <x:c r="E47" s="3" t="inlineStr">
        <x:is>
          <x:t xml:space="preserve">Операционные</x:t>
        </x:is>
      </x:c>
      <x:c r="F47" s="3" t="inlineStr">
        <x:is>
          <x:t xml:space="preserve">Непредвиденные/резерв</x:t>
        </x:is>
      </x:c>
      <x:c r="G47" s="2" t="inlineStr">
        <x:is>
          <x:t xml:space="preserve">PM</x:t>
        </x:is>
      </x:c>
      <x:c r="H47" s="4" t="n">
        <x:v>54300</x:v>
      </x:c>
      <x:c r="I47" s="4" t="n">
        <x:v>61900</x:v>
      </x:c>
      <x:c r="J47" s="4">
        <x:f>IF($I47="","",$I47-$H47)</x:f>
        <x:v>7600</x:v>
      </x:c>
      <x:c r="K47" s="5">
        <x:f>IF($I47="","",($I47-$H47)/$H47)</x:f>
        <x:v>0.13996316758747698</x:v>
      </x:c>
      <x:c r="L47" s="2" t="str">
        <x:f>IF($I47="","Planned",IF($I47&gt;$H47,"Over",IF($I47&lt;$H47,"Under","On plan")))</x:f>
        <x:v>Over</x:v>
      </x:c>
      <x:c r="M47" s="2">
        <x:f>IF($I47="","",IF(AND($J47&gt;50000,$K47&gt;0.2),"CRITICAL",""))</x:f>
      </x:c>
      <x:c r="N47" s="2" t="inlineStr">
        <x:is>
          <x:t xml:space="preserve">Yes</x:t>
        </x:is>
      </x:c>
      <x:c r="O47" s="3" t="inlineStr">
        <x:is>
          <x:t xml:space="preserve">перерасход: внеплановые операционные расходы (связь/логистика)</x:t>
        </x:is>
      </x:c>
    </x:row>
    <x:row r="48">
      <x:c r="A48" s="2" t="n">
        <x:v>47</x:v>
      </x:c>
      <x:c r="B48" s="2" t="inlineStr">
        <x:is>
          <x:t xml:space="preserve">PRJ-301</x:t>
        </x:is>
      </x:c>
      <x:c r="C48" s="2" t="inlineStr">
        <x:is>
          <x:t xml:space="preserve">2025-02</x:t>
        </x:is>
      </x:c>
      <x:c r="D48" s="2" t="inlineStr">
        <x:is>
          <x:t xml:space="preserve">Closed</x:t>
        </x:is>
      </x:c>
      <x:c r="E48" s="3" t="inlineStr">
        <x:is>
          <x:t xml:space="preserve">Операционные</x:t>
        </x:is>
      </x:c>
      <x:c r="F48" s="3" t="inlineStr">
        <x:is>
          <x:t xml:space="preserve">Печать/полиграфия</x:t>
        </x:is>
      </x:c>
      <x:c r="G48" s="2" t="inlineStr">
        <x:is>
          <x:t xml:space="preserve">Marketing</x:t>
        </x:is>
      </x:c>
      <x:c r="H48" s="4" t="n">
        <x:v>8100</x:v>
      </x:c>
      <x:c r="I48" s="4" t="n">
        <x:v>10800</x:v>
      </x:c>
      <x:c r="J48" s="4">
        <x:f>IF($I48="","",$I48-$H48)</x:f>
        <x:v>2700</x:v>
      </x:c>
      <x:c r="K48" s="5">
        <x:f>IF($I48="","",($I48-$H48)/$H48)</x:f>
        <x:v>0.3333333333333333</x:v>
      </x:c>
      <x:c r="L48" s="2" t="str">
        <x:f>IF($I48="","Planned",IF($I48&gt;$H48,"Over",IF($I48&lt;$H48,"Under","On plan")))</x:f>
        <x:v>Over</x:v>
      </x:c>
      <x:c r="M48" s="2">
        <x:f>IF($I48="","",IF(AND($J48&gt;50000,$K48&gt;0.2),"CRITICAL",""))</x:f>
      </x:c>
      <x:c r="N48" s="2" t="inlineStr">
        <x:is>
          <x:t xml:space="preserve">Yes</x:t>
        </x:is>
      </x:c>
      <x:c r="O48" s="3" t="inlineStr">
        <x:is>
          <x:t xml:space="preserve">перерасход: дополнительные платежи за обслуживание</x:t>
        </x:is>
      </x:c>
    </x:row>
    <x:row r="49">
      <x:c r="A49" s="2" t="n">
        <x:v>48</x:v>
      </x:c>
      <x:c r="B49" s="2" t="inlineStr">
        <x:is>
          <x:t xml:space="preserve">PRJ-301</x:t>
        </x:is>
      </x:c>
      <x:c r="C49" s="2" t="inlineStr">
        <x:is>
          <x:t xml:space="preserve">2025-02</x:t>
        </x:is>
      </x:c>
      <x:c r="D49" s="2" t="inlineStr">
        <x:is>
          <x:t xml:space="preserve">Closed</x:t>
        </x:is>
      </x:c>
      <x:c r="E49" s="3" t="inlineStr">
        <x:is>
          <x:t xml:space="preserve">Операционные</x:t>
        </x:is>
      </x:c>
      <x:c r="F49" s="3" t="inlineStr">
        <x:is>
          <x:t xml:space="preserve">Сервисы обратной связи (опросы)</x:t>
        </x:is>
      </x:c>
      <x:c r="G49" s="2" t="inlineStr">
        <x:is>
          <x:t xml:space="preserve">Analyst</x:t>
        </x:is>
      </x:c>
      <x:c r="H49" s="4" t="n">
        <x:v>2100</x:v>
      </x:c>
      <x:c r="I49" s="4" t="n">
        <x:v>2300</x:v>
      </x:c>
      <x:c r="J49" s="4">
        <x:f>IF($I49="","",$I49-$H49)</x:f>
        <x:v>200</x:v>
      </x:c>
      <x:c r="K49" s="5">
        <x:f>IF($I49="","",($I49-$H49)/$H49)</x:f>
        <x:v>0.09523809523809523</x:v>
      </x:c>
      <x:c r="L49" s="2" t="str">
        <x:f>IF($I49="","Planned",IF($I49&gt;$H49,"Over",IF($I49&lt;$H49,"Under","On plan")))</x:f>
        <x:v>Over</x:v>
      </x:c>
      <x:c r="M49" s="2">
        <x:f>IF($I49="","",IF(AND($J49&gt;50000,$K49&gt;0.2),"CRITICAL",""))</x:f>
      </x:c>
      <x:c r="N49" s="2" t="inlineStr">
        <x:is>
          <x:t xml:space="preserve">Yes</x:t>
        </x:is>
      </x:c>
      <x:c r="O49" s="3" t="inlineStr">
        <x:is>
          <x:t xml:space="preserve">по плану: расход соответствует смете, отклонение в пределах допуска</x:t>
        </x:is>
      </x:c>
    </x:row>
    <x:row r="50">
      <x:c r="A50" s="2" t="n">
        <x:v>49</x:v>
      </x:c>
      <x:c r="B50" s="2" t="inlineStr">
        <x:is>
          <x:t xml:space="preserve">PRJ-301</x:t>
        </x:is>
      </x:c>
      <x:c r="C50" s="2" t="inlineStr">
        <x:is>
          <x:t xml:space="preserve">2025-02</x:t>
        </x:is>
      </x:c>
      <x:c r="D50" s="2" t="inlineStr">
        <x:is>
          <x:t xml:space="preserve">Closed</x:t>
        </x:is>
      </x:c>
      <x:c r="E50" s="3" t="inlineStr">
        <x:is>
          <x:t xml:space="preserve">Операционные</x:t>
        </x:is>
      </x:c>
      <x:c r="F50" s="3" t="inlineStr">
        <x:is>
          <x:t xml:space="preserve">Платежи/комиссии</x:t>
        </x:is>
      </x:c>
      <x:c r="G50" s="2" t="inlineStr">
        <x:is>
          <x:t xml:space="preserve">Admin</x:t>
        </x:is>
      </x:c>
      <x:c r="H50" s="4" t="n">
        <x:v>5700</x:v>
      </x:c>
      <x:c r="I50" s="4" t="n">
        <x:v>5100</x:v>
      </x:c>
      <x:c r="J50" s="4">
        <x:f>IF($I50="","",$I50-$H50)</x:f>
        <x:v>-600</x:v>
      </x:c>
      <x:c r="K50" s="5">
        <x:f>IF($I50="","",($I50-$H50)/$H50)</x:f>
        <x:v>-0.10526315789473684</x:v>
      </x:c>
      <x:c r="L50" s="2" t="str">
        <x:f>IF($I50="","Planned",IF($I50&gt;$H50,"Over",IF($I50&lt;$H50,"Under","On plan")))</x:f>
        <x:v>Under</x:v>
      </x:c>
      <x:c r="M50" s="2">
        <x:f>IF($I50="","",IF(AND($J50&gt;50000,$K50&gt;0.2),"CRITICAL",""))</x:f>
      </x:c>
      <x:c r="N50" s="2" t="inlineStr">
        <x:is>
          <x:t xml:space="preserve">Yes</x:t>
        </x:is>
      </x:c>
      <x:c r="O50" s="3" t="inlineStr">
        <x:is>
          <x:t xml:space="preserve">по плану: закрыли месяц без существенных отклонений</x:t>
        </x:is>
      </x:c>
    </x:row>
    <x:row r="51">
      <x:c r="A51" s="2" t="n">
        <x:v>50</x:v>
      </x:c>
      <x:c r="B51" s="2" t="inlineStr">
        <x:is>
          <x:t xml:space="preserve">PRJ-301</x:t>
        </x:is>
      </x:c>
      <x:c r="C51" s="2" t="inlineStr">
        <x:is>
          <x:t xml:space="preserve">2025-02</x:t>
        </x:is>
      </x:c>
      <x:c r="D51" s="2" t="inlineStr">
        <x:is>
          <x:t xml:space="preserve">Closed</x:t>
        </x:is>
      </x:c>
      <x:c r="E51" s="3" t="inlineStr">
        <x:is>
          <x:t xml:space="preserve">Безопасность</x:t>
        </x:is>
      </x:c>
      <x:c r="F51" s="3" t="inlineStr">
        <x:is>
          <x:t xml:space="preserve">Пентест/аудит</x:t>
        </x:is>
      </x:c>
      <x:c r="G51" s="2" t="inlineStr">
        <x:is>
          <x:t xml:space="preserve">DevOps</x:t>
        </x:is>
      </x:c>
      <x:c r="H51" s="4" t="n">
        <x:v>62300</x:v>
      </x:c>
      <x:c r="I51" s="4" t="n">
        <x:v>77100</x:v>
      </x:c>
      <x:c r="J51" s="4">
        <x:f>IF($I51="","",$I51-$H51)</x:f>
      </x:c>
      <x:c r="K51" s="5">
        <x:f>IF($I51="","",($I51-$H51)/$H51)</x:f>
      </x:c>
      <x:c r="L51" s="2">
        <x:f>IF($I51="","Planned",IF($I51&gt;$H51,"Over",IF($I51&lt;$H51,"Under","On plan")))</x:f>
      </x:c>
      <x:c r="M51" s="2">
        <x:f>IF($I51="","",IF(AND($J51&gt;50000,$K51&gt;0.2),"CRITICAL",""))</x:f>
      </x:c>
      <x:c r="N51" s="2" t="inlineStr">
        <x:is>
          <x:t xml:space="preserve">Yes</x:t>
        </x:is>
      </x:c>
      <x:c r="O51" s="3" t="inlineStr">
        <x:is>
          <x:t xml:space="preserve">перерасход: внеплановый аудит/пен-тест по требованию заказчика</x:t>
        </x:is>
      </x:c>
    </x:row>
    <x:row r="52">
      <x:c r="A52" s="2" t="n">
        <x:v>51</x:v>
      </x:c>
      <x:c r="B52" s="2" t="inlineStr">
        <x:is>
          <x:t xml:space="preserve">PRJ-301</x:t>
        </x:is>
      </x:c>
      <x:c r="C52" s="2" t="inlineStr">
        <x:is>
          <x:t xml:space="preserve">2025-03</x:t>
        </x:is>
      </x:c>
      <x:c r="D52" s="2" t="inlineStr">
        <x:is>
          <x:t xml:space="preserve">Open</x:t>
        </x:is>
      </x:c>
      <x:c r="E52" s="3" t="inlineStr">
        <x:is>
          <x:t xml:space="preserve">Подряд</x:t>
        </x:is>
      </x:c>
      <x:c r="F52" s="3" t="inlineStr">
        <x:is>
          <x:t xml:space="preserve">Подряд: разработка (внешние)</x:t>
        </x:is>
      </x:c>
      <x:c r="G52" s="2" t="inlineStr">
        <x:is>
          <x:t xml:space="preserve">Team Lead</x:t>
        </x:is>
      </x:c>
      <x:c r="H52" s="4" t="n">
        <x:v>156600</x:v>
      </x:c>
      <x:c r="I52" s="4" t="n"/>
      <x:c r="J52" s="4">
        <x:f>IF($I52="","",$I52-$H52)</x:f>
      </x:c>
      <x:c r="K52" s="5">
        <x:f>IF($I52="","",($I52-$H52)/$H52)</x:f>
      </x:c>
      <x:c r="L52" s="2">
        <x:f>IF($I52="","Planned",IF($I52&gt;$H52,"Over",IF($I52&lt;$H52,"Under","On plan")))</x:f>
      </x:c>
      <x:c r="M52" s="2">
        <x:f>IF($I52="","",IF(AND($J52&gt;50000,$K52&gt;0.2),"CRITICAL",""))</x:f>
      </x:c>
      <x:c r="N52" s="2" t="inlineStr">
        <x:is>
          <x:t xml:space="preserve">No</x:t>
        </x:is>
      </x:c>
      <x:c r="O52" s="3" t="inlineStr">
        <x:is>
          <x:t xml:space="preserve">факт не заполнен: ожидается счёт/акт, поэтому пока только план</x:t>
        </x:is>
      </x:c>
    </x:row>
    <x:row r="53">
      <x:c r="A53" s="2" t="n">
        <x:v>52</x:v>
      </x:c>
      <x:c r="B53" s="2" t="inlineStr">
        <x:is>
          <x:t xml:space="preserve">PRJ-301</x:t>
        </x:is>
      </x:c>
      <x:c r="C53" s="2" t="inlineStr">
        <x:is>
          <x:t xml:space="preserve">2025-03</x:t>
        </x:is>
      </x:c>
      <x:c r="D53" s="2" t="inlineStr">
        <x:is>
          <x:t xml:space="preserve">Open</x:t>
        </x:is>
      </x:c>
      <x:c r="E53" s="3" t="inlineStr">
        <x:is>
          <x:t xml:space="preserve">Маркетинг</x:t>
        </x:is>
      </x:c>
      <x:c r="F53" s="3" t="inlineStr">
        <x:is>
          <x:t xml:space="preserve">Маркетинг: лендинг</x:t>
        </x:is>
      </x:c>
      <x:c r="G53" s="2" t="inlineStr">
        <x:is>
          <x:t xml:space="preserve">Marketing</x:t>
        </x:is>
      </x:c>
      <x:c r="H53" s="4" t="n">
        <x:v>31900</x:v>
      </x:c>
      <x:c r="I53" s="4" t="n">
        <x:v>27900</x:v>
      </x:c>
      <x:c r="J53" s="4">
        <x:f>IF($I53="","",$I53-$H53)</x:f>
      </x:c>
      <x:c r="K53" s="5">
        <x:f>IF($I53="","",($I53-$H53)/$H53)</x:f>
      </x:c>
      <x:c r="L53" s="2">
        <x:f>IF($I53="","Planned",IF($I53&gt;$H53,"Over",IF($I53&lt;$H53,"Under","On plan")))</x:f>
      </x:c>
      <x:c r="M53" s="2">
        <x:f>IF($I53="","",IF(AND($J53&gt;50000,$K53&gt;0.2),"CRITICAL",""))</x:f>
      </x:c>
      <x:c r="N53" s="2" t="inlineStr">
        <x:is>
          <x:t xml:space="preserve">Yes</x:t>
        </x:is>
      </x:c>
      <x:c r="O53" s="3" t="inlineStr">
        <x:is>
          <x:t xml:space="preserve">экономия: часть размещений заменили бесплатными каналами</x:t>
        </x:is>
      </x:c>
    </x:row>
    <x:row r="54">
      <x:c r="A54" s="2" t="n">
        <x:v>53</x:v>
      </x:c>
      <x:c r="B54" s="2" t="inlineStr">
        <x:is>
          <x:t xml:space="preserve">PRJ-301</x:t>
        </x:is>
      </x:c>
      <x:c r="C54" s="2" t="inlineStr">
        <x:is>
          <x:t xml:space="preserve">2025-03</x:t>
        </x:is>
      </x:c>
      <x:c r="D54" s="2" t="inlineStr">
        <x:is>
          <x:t xml:space="preserve">Open</x:t>
        </x:is>
      </x:c>
      <x:c r="E54" s="3" t="inlineStr">
        <x:is>
          <x:t xml:space="preserve">Маркетинг</x:t>
        </x:is>
      </x:c>
      <x:c r="F54" s="3" t="inlineStr">
        <x:is>
          <x:t xml:space="preserve">Маркетинг: реклама (контекст)</x:t>
        </x:is>
      </x:c>
      <x:c r="G54" s="2" t="inlineStr">
        <x:is>
          <x:t xml:space="preserve">Marketing</x:t>
        </x:is>
      </x:c>
      <x:c r="H54" s="4" t="n">
        <x:v>72400</x:v>
      </x:c>
      <x:c r="I54" s="4" t="n"/>
      <x:c r="J54" s="4">
        <x:f>IF($I54="","",$I54-$H54)</x:f>
      </x:c>
      <x:c r="K54" s="5">
        <x:f>IF($I54="","",($I54-$H54)/$H54)</x:f>
      </x:c>
      <x:c r="L54" s="2">
        <x:f>IF($I54="","Planned",IF($I54&gt;$H54,"Over",IF($I54&lt;$H54,"Under","On plan")))</x:f>
      </x:c>
      <x:c r="M54" s="2">
        <x:f>IF($I54="","",IF(AND($J54&gt;50000,$K54&gt;0.2),"CRITICAL",""))</x:f>
      </x:c>
      <x:c r="N54" s="2" t="inlineStr">
        <x:is>
          <x:t xml:space="preserve">No</x:t>
        </x:is>
      </x:c>
      <x:c r="O54" s="3" t="inlineStr">
        <x:is>
          <x:t xml:space="preserve">факт не заполнен: ожидается счёт/акт, поэтому пока только план</x:t>
        </x:is>
      </x:c>
    </x:row>
    <x:row r="55">
      <x:c r="A55" s="2" t="n">
        <x:v>54</x:v>
      </x:c>
      <x:c r="B55" s="2" t="inlineStr">
        <x:is>
          <x:t xml:space="preserve">PRJ-301</x:t>
        </x:is>
      </x:c>
      <x:c r="C55" s="2" t="inlineStr">
        <x:is>
          <x:t xml:space="preserve">2025-03</x:t>
        </x:is>
      </x:c>
      <x:c r="D55" s="2" t="inlineStr">
        <x:is>
          <x:t xml:space="preserve">Open</x:t>
        </x:is>
      </x:c>
      <x:c r="E55" s="3" t="inlineStr">
        <x:is>
          <x:t xml:space="preserve">Маркетинг</x:t>
        </x:is>
      </x:c>
      <x:c r="F55" s="3" t="inlineStr">
        <x:is>
          <x:t xml:space="preserve">Маркетинг: контент/копирайт</x:t>
        </x:is>
      </x:c>
      <x:c r="G55" s="2" t="inlineStr">
        <x:is>
          <x:t xml:space="preserve">Marketing</x:t>
        </x:is>
      </x:c>
      <x:c r="H55" s="4" t="n">
        <x:v>33000</x:v>
      </x:c>
      <x:c r="I55" s="4" t="n">
        <x:v>32400</x:v>
      </x:c>
      <x:c r="J55" s="4">
        <x:f>IF($I55="","",$I55-$H55)</x:f>
      </x:c>
      <x:c r="K55" s="5">
        <x:f>IF($I55="","",($I55-$H55)/$H55)</x:f>
      </x:c>
      <x:c r="L55" s="2">
        <x:f>IF($I55="","Planned",IF($I55&gt;$H55,"Over",IF($I55&lt;$H55,"Under","On plan")))</x:f>
      </x:c>
      <x:c r="M55" s="2">
        <x:f>IF($I55="","",IF(AND($J55&gt;50000,$K55&gt;0.2),"CRITICAL",""))</x:f>
      </x:c>
      <x:c r="N55" s="2" t="inlineStr">
        <x:is>
          <x:t xml:space="preserve">Yes</x:t>
        </x:is>
      </x:c>
      <x:c r="O55" s="3" t="inlineStr">
        <x:is>
          <x:t xml:space="preserve">по плану: фактическая сумма соответствует договору/тарифу</x:t>
        </x:is>
      </x:c>
    </x:row>
    <x:row r="56">
      <x:c r="A56" s="2" t="n">
        <x:v>55</x:v>
      </x:c>
      <x:c r="B56" s="2" t="inlineStr">
        <x:is>
          <x:t xml:space="preserve">PRJ-301</x:t>
        </x:is>
      </x:c>
      <x:c r="C56" s="2" t="inlineStr">
        <x:is>
          <x:t xml:space="preserve">2025-03</x:t>
        </x:is>
      </x:c>
      <x:c r="D56" s="2" t="inlineStr">
        <x:is>
          <x:t xml:space="preserve">Open</x:t>
        </x:is>
      </x:c>
      <x:c r="E56" s="3" t="inlineStr">
        <x:is>
          <x:t xml:space="preserve">Железо</x:t>
        </x:is>
      </x:c>
      <x:c r="F56" s="3" t="inlineStr">
        <x:is>
          <x:t xml:space="preserve">Тестовые устройства (QA)</x:t>
        </x:is>
      </x:c>
      <x:c r="G56" s="2" t="inlineStr">
        <x:is>
          <x:t xml:space="preserve">QA</x:t>
        </x:is>
      </x:c>
      <x:c r="H56" s="4" t="n">
        <x:v>67200</x:v>
      </x:c>
      <x:c r="I56" s="4" t="n">
        <x:v>71100</x:v>
      </x:c>
      <x:c r="J56" s="4">
        <x:f>IF($I56="","",$I56-$H56)</x:f>
      </x:c>
      <x:c r="K56" s="5">
        <x:f>IF($I56="","",($I56-$H56)/$H56)</x:f>
      </x:c>
      <x:c r="L56" s="2">
        <x:f>IF($I56="","Planned",IF($I56&gt;$H56,"Over",IF($I56&lt;$H56,"Under","On plan")))</x:f>
      </x:c>
      <x:c r="M56" s="2">
        <x:f>IF($I56="","",IF(AND($J56&gt;50000,$K56&gt;0.2),"CRITICAL",""))</x:f>
      </x:c>
      <x:c r="N56" s="2" t="inlineStr">
        <x:is>
          <x:t xml:space="preserve">No</x:t>
        </x:is>
      </x:c>
      <x:c r="O56" s="3" t="inlineStr">
        <x:is>
          <x:t xml:space="preserve">перерасход: докупили оборудование под расширение стенда</x:t>
        </x:is>
      </x:c>
    </x:row>
    <x:row r="57">
      <x:c r="A57" s="2" t="n">
        <x:v>56</x:v>
      </x:c>
      <x:c r="B57" s="2" t="inlineStr">
        <x:is>
          <x:t xml:space="preserve">PRJ-301</x:t>
        </x:is>
      </x:c>
      <x:c r="C57" s="2" t="inlineStr">
        <x:is>
          <x:t xml:space="preserve">2025-03</x:t>
        </x:is>
      </x:c>
      <x:c r="D57" s="2" t="inlineStr">
        <x:is>
          <x:t xml:space="preserve">Open</x:t>
        </x:is>
      </x:c>
      <x:c r="E57" s="3" t="inlineStr">
        <x:is>
          <x:t xml:space="preserve">Железо</x:t>
        </x:is>
      </x:c>
      <x:c r="F57" s="3" t="inlineStr">
        <x:is>
          <x:t xml:space="preserve">Сервер/мини-ПК для стенда</x:t>
        </x:is>
      </x:c>
      <x:c r="G57" s="2" t="inlineStr">
        <x:is>
          <x:t xml:space="preserve">DevOps</x:t>
        </x:is>
      </x:c>
      <x:c r="H57" s="4" t="n">
        <x:v>138900</x:v>
      </x:c>
      <x:c r="I57" s="4" t="n">
        <x:v>228300</x:v>
      </x:c>
      <x:c r="J57" s="4">
        <x:f>IF($I57="","",$I57-$H57)</x:f>
      </x:c>
      <x:c r="K57" s="5">
        <x:f>IF($I57="","",($I57-$H57)/$H57)</x:f>
      </x:c>
      <x:c r="L57" s="2">
        <x:f>IF($I57="","Planned",IF($I57&gt;$H57,"Over",IF($I57&lt;$H57,"Under","On plan")))</x:f>
      </x:c>
      <x:c r="M57" s="2">
        <x:f>IF($I57="","",IF(AND($J57&gt;50000,$K57&gt;0.2),"CRITICAL",""))</x:f>
      </x:c>
      <x:c r="N57" s="2" t="inlineStr">
        <x:is>
          <x:t xml:space="preserve">No</x:t>
        </x:is>
      </x:c>
      <x:c r="O57" s="3" t="inlineStr">
        <x:is>
          <x:t xml:space="preserve">перерасход: замена бракованной партии</x:t>
        </x:is>
      </x:c>
    </x:row>
    <x:row r="58">
      <x:c r="A58" s="2" t="n">
        <x:v>57</x:v>
      </x:c>
      <x:c r="B58" s="2" t="inlineStr">
        <x:is>
          <x:t xml:space="preserve">PRJ-301</x:t>
        </x:is>
      </x:c>
      <x:c r="C58" s="2" t="inlineStr">
        <x:is>
          <x:t xml:space="preserve">2025-03</x:t>
        </x:is>
      </x:c>
      <x:c r="D58" s="2" t="inlineStr">
        <x:is>
          <x:t xml:space="preserve">Open</x:t>
        </x:is>
      </x:c>
      <x:c r="E58" s="3" t="inlineStr">
        <x:is>
          <x:t xml:space="preserve">Железо</x:t>
        </x:is>
      </x:c>
      <x:c r="F58" s="3" t="inlineStr">
        <x:is>
          <x:t xml:space="preserve">Периферия (кабели/адаптеры)</x:t>
        </x:is>
      </x:c>
      <x:c r="G58" s="2" t="inlineStr">
        <x:is>
          <x:t xml:space="preserve">DevOps</x:t>
        </x:is>
      </x:c>
      <x:c r="H58" s="4" t="n">
        <x:v>19300</x:v>
      </x:c>
      <x:c r="I58" s="4" t="n"/>
      <x:c r="J58" s="4">
        <x:f>IF($I58="","",$I58-$H58)</x:f>
      </x:c>
      <x:c r="K58" s="5">
        <x:f>IF($I58="","",($I58-$H58)/$H58)</x:f>
      </x:c>
      <x:c r="L58" s="2">
        <x:f>IF($I58="","Planned",IF($I58&gt;$H58,"Over",IF($I58&lt;$H58,"Under","On plan")))</x:f>
      </x:c>
      <x:c r="M58" s="2">
        <x:f>IF($I58="","",IF(AND($J58&gt;50000,$K58&gt;0.2),"CRITICAL",""))</x:f>
      </x:c>
      <x:c r="N58" s="2" t="inlineStr">
        <x:is>
          <x:t xml:space="preserve">No</x:t>
        </x:is>
      </x:c>
      <x:c r="O58" s="3" t="inlineStr">
        <x:is>
          <x:t xml:space="preserve">факт не заполнен: расходы запланированы, но оплат ещё не было</x:t>
        </x:is>
      </x:c>
    </x:row>
    <x:row r="59">
      <x:c r="A59" s="2" t="n">
        <x:v>58</x:v>
      </x:c>
      <x:c r="B59" s="2" t="inlineStr">
        <x:is>
          <x:t xml:space="preserve">PRJ-301</x:t>
        </x:is>
      </x:c>
      <x:c r="C59" s="2" t="inlineStr">
        <x:is>
          <x:t xml:space="preserve">2025-03</x:t>
        </x:is>
      </x:c>
      <x:c r="D59" s="2" t="inlineStr">
        <x:is>
          <x:t xml:space="preserve">Open</x:t>
        </x:is>
      </x:c>
      <x:c r="E59" s="3" t="inlineStr">
        <x:is>
          <x:t xml:space="preserve">Данные</x:t>
        </x:is>
      </x:c>
      <x:c r="F59" s="3" t="inlineStr">
        <x:is>
          <x:t xml:space="preserve">Покупка датасета/доступ</x:t>
        </x:is>
      </x:c>
      <x:c r="G59" s="2" t="inlineStr">
        <x:is>
          <x:t xml:space="preserve">Analyst</x:t>
        </x:is>
      </x:c>
      <x:c r="H59" s="4" t="n">
        <x:v>21200</x:v>
      </x:c>
      <x:c r="I59" s="4" t="n">
        <x:v>20400</x:v>
      </x:c>
      <x:c r="J59" s="4">
        <x:f>IF($I59="","",$I59-$H59)</x:f>
      </x:c>
      <x:c r="K59" s="5">
        <x:f>IF($I59="","",($I59-$H59)/$H59)</x:f>
      </x:c>
      <x:c r="L59" s="2">
        <x:f>IF($I59="","Planned",IF($I59&gt;$H59,"Over",IF($I59&lt;$H59,"Under","On plan")))</x:f>
      </x:c>
      <x:c r="M59" s="2">
        <x:f>IF($I59="","",IF(AND($J59&gt;50000,$K59&gt;0.2),"CRITICAL",""))</x:f>
      </x:c>
      <x:c r="N59" s="2" t="inlineStr">
        <x:is>
          <x:t xml:space="preserve">No</x:t>
        </x:is>
      </x:c>
      <x:c r="O59" s="3" t="inlineStr">
        <x:is>
          <x:t xml:space="preserve">по плану: закрыли месяц без существенных отклонений</x:t>
        </x:is>
      </x:c>
    </x:row>
    <x:row r="60">
      <x:c r="A60" s="2" t="n">
        <x:v>59</x:v>
      </x:c>
      <x:c r="B60" s="2" t="inlineStr">
        <x:is>
          <x:t xml:space="preserve">PRJ-301</x:t>
        </x:is>
      </x:c>
      <x:c r="C60" s="2" t="inlineStr">
        <x:is>
          <x:t xml:space="preserve">2025-03</x:t>
        </x:is>
      </x:c>
      <x:c r="D60" s="2" t="inlineStr">
        <x:is>
          <x:t xml:space="preserve">Open</x:t>
        </x:is>
      </x:c>
      <x:c r="E60" s="3" t="inlineStr">
        <x:is>
          <x:t xml:space="preserve">Данные</x:t>
        </x:is>
      </x:c>
      <x:c r="F60" s="3" t="inlineStr">
        <x:is>
          <x:t xml:space="preserve">Разметка данных (аутсорс)</x:t>
        </x:is>
      </x:c>
      <x:c r="G60" s="2" t="inlineStr">
        <x:is>
          <x:t xml:space="preserve">Analyst</x:t>
        </x:is>
      </x:c>
      <x:c r="H60" s="4" t="n">
        <x:v>88100</x:v>
      </x:c>
      <x:c r="I60" s="4" t="n">
        <x:v>107600</x:v>
      </x:c>
      <x:c r="J60" s="4">
        <x:f>IF($I60="","",$I60-$H60)</x:f>
      </x:c>
      <x:c r="K60" s="5">
        <x:f>IF($I60="","",($I60-$H60)/$H60)</x:f>
      </x:c>
      <x:c r="L60" s="2">
        <x:f>IF($I60="","Planned",IF($I60&gt;$H60,"Over",IF($I60&lt;$H60,"Under","On plan")))</x:f>
      </x:c>
      <x:c r="M60" s="2">
        <x:f>IF($I60="","",IF(AND($J60&gt;50000,$K60&gt;0.2),"CRITICAL",""))</x:f>
      </x:c>
      <x:c r="N60" s="2" t="inlineStr">
        <x:is>
          <x:t xml:space="preserve">No</x:t>
        </x:is>
      </x:c>
      <x:c r="O60" s="3" t="inlineStr">
        <x:is>
          <x:t xml:space="preserve">перерасход: дополнительные вычисления для обработки данных</x:t>
        </x:is>
      </x:c>
    </x:row>
    <x:row r="61">
      <x:c r="A61" s="2" t="n">
        <x:v>60</x:v>
      </x:c>
      <x:c r="B61" s="2" t="inlineStr">
        <x:is>
          <x:t xml:space="preserve">PRJ-301</x:t>
        </x:is>
      </x:c>
      <x:c r="C61" s="2" t="inlineStr">
        <x:is>
          <x:t xml:space="preserve">2025-03</x:t>
        </x:is>
      </x:c>
      <x:c r="D61" s="2" t="inlineStr">
        <x:is>
          <x:t xml:space="preserve">Open</x:t>
        </x:is>
      </x:c>
      <x:c r="E61" s="3" t="inlineStr">
        <x:is>
          <x:t xml:space="preserve">Юридическое</x:t>
        </x:is>
      </x:c>
      <x:c r="F61" s="3" t="inlineStr">
        <x:is>
          <x:t xml:space="preserve">Договоры/юридическая проверка</x:t>
        </x:is>
      </x:c>
      <x:c r="G61" s="2" t="inlineStr">
        <x:is>
          <x:t xml:space="preserve">PM</x:t>
        </x:is>
      </x:c>
      <x:c r="H61" s="4" t="n">
        <x:v>10600</x:v>
      </x:c>
      <x:c r="I61" s="4" t="n">
        <x:v>11200</x:v>
      </x:c>
      <x:c r="J61" s="4">
        <x:f>IF($I61="","",$I61-$H61)</x:f>
      </x:c>
      <x:c r="K61" s="5">
        <x:f>IF($I61="","",($I61-$H61)/$H61)</x:f>
      </x:c>
      <x:c r="L61" s="2">
        <x:f>IF($I61="","Planned",IF($I61&gt;$H61,"Over",IF($I61&lt;$H61,"Under","On plan")))</x:f>
      </x:c>
      <x:c r="M61" s="2">
        <x:f>IF($I61="","",IF(AND($J61&gt;50000,$K61&gt;0.2),"CRITICAL",""))</x:f>
      </x:c>
      <x:c r="N61" s="2" t="inlineStr">
        <x:is>
          <x:t xml:space="preserve">Yes</x:t>
        </x:is>
      </x:c>
      <x:c r="O61" s="3" t="inlineStr">
        <x:is>
          <x:t xml:space="preserve">по плану: расход соответствует смете, отклонение в пределах допуска</x:t>
        </x:is>
      </x:c>
    </x:row>
    <x:row r="62">
      <x:c r="A62" s="2" t="n">
        <x:v>61</x:v>
      </x:c>
      <x:c r="B62" s="2" t="inlineStr">
        <x:is>
          <x:t xml:space="preserve">PRJ-301</x:t>
        </x:is>
      </x:c>
      <x:c r="C62" s="2" t="inlineStr">
        <x:is>
          <x:t xml:space="preserve">2025-03</x:t>
        </x:is>
      </x:c>
      <x:c r="D62" s="2" t="inlineStr">
        <x:is>
          <x:t xml:space="preserve">Open</x:t>
        </x:is>
      </x:c>
      <x:c r="E62" s="3" t="inlineStr">
        <x:is>
          <x:t xml:space="preserve">Команда</x:t>
        </x:is>
      </x:c>
      <x:c r="F62" s="3" t="inlineStr">
        <x:is>
          <x:t xml:space="preserve">Обучение/курсы</x:t>
        </x:is>
      </x:c>
      <x:c r="G62" s="2" t="inlineStr">
        <x:is>
          <x:t xml:space="preserve">PM</x:t>
        </x:is>
      </x:c>
      <x:c r="H62" s="4" t="n">
        <x:v>15300</x:v>
      </x:c>
      <x:c r="I62" s="4" t="n"/>
      <x:c r="J62" s="4">
        <x:f>IF($I62="","",$I62-$H62)</x:f>
      </x:c>
      <x:c r="K62" s="5">
        <x:f>IF($I62="","",($I62-$H62)/$H62)</x:f>
      </x:c>
      <x:c r="L62" s="2">
        <x:f>IF($I62="","Planned",IF($I62&gt;$H62,"Over",IF($I62&lt;$H62,"Under","On plan")))</x:f>
      </x:c>
      <x:c r="M62" s="2">
        <x:f>IF($I62="","",IF(AND($J62&gt;50000,$K62&gt;0.2),"CRITICAL",""))</x:f>
      </x:c>
      <x:c r="N62" s="2" t="inlineStr">
        <x:is>
          <x:t xml:space="preserve">No</x:t>
        </x:is>
      </x:c>
      <x:c r="O62" s="3" t="inlineStr">
        <x:is>
          <x:t xml:space="preserve">факт не заполнен: месяц в плане, ожидаем документы от поставщика</x:t>
        </x:is>
      </x:c>
    </x:row>
    <x:row r="63">
      <x:c r="A63" s="2" t="n">
        <x:v>62</x:v>
      </x:c>
      <x:c r="B63" s="2" t="inlineStr">
        <x:is>
          <x:t xml:space="preserve">PRJ-301</x:t>
        </x:is>
      </x:c>
      <x:c r="C63" s="2" t="inlineStr">
        <x:is>
          <x:t xml:space="preserve">2025-03</x:t>
        </x:is>
      </x:c>
      <x:c r="D63" s="2" t="inlineStr">
        <x:is>
          <x:t xml:space="preserve">Open</x:t>
        </x:is>
      </x:c>
      <x:c r="E63" s="3" t="inlineStr">
        <x:is>
          <x:t xml:space="preserve">Команда</x:t>
        </x:is>
      </x:c>
      <x:c r="F63" s="3" t="inlineStr">
        <x:is>
          <x:t xml:space="preserve">Мероприятия/конференции</x:t>
        </x:is>
      </x:c>
      <x:c r="G63" s="2" t="inlineStr">
        <x:is>
          <x:t xml:space="preserve">PM</x:t>
        </x:is>
      </x:c>
      <x:c r="H63" s="4" t="n">
        <x:v>57700</x:v>
      </x:c>
      <x:c r="I63" s="4" t="n"/>
      <x:c r="J63" s="4">
        <x:f>IF($I63="","",$I63-$H63)</x:f>
      </x:c>
      <x:c r="K63" s="5">
        <x:f>IF($I63="","",($I63-$H63)/$H63)</x:f>
      </x:c>
      <x:c r="L63" s="2">
        <x:f>IF($I63="","Planned",IF($I63&gt;$H63,"Over",IF($I63&lt;$H63,"Under","On plan")))</x:f>
      </x:c>
      <x:c r="M63" s="2">
        <x:f>IF($I63="","",IF(AND($J63&gt;50000,$K63&gt;0.2),"CRITICAL",""))</x:f>
      </x:c>
      <x:c r="N63" s="2" t="inlineStr">
        <x:is>
          <x:t xml:space="preserve">No</x:t>
        </x:is>
      </x:c>
      <x:c r="O63" s="3" t="inlineStr">
        <x:is>
          <x:t xml:space="preserve">факт не заполнен: месяц в плане, ожидаем документы от поставщика</x:t>
        </x:is>
      </x:c>
    </x:row>
    <x:row r="64">
      <x:c r="A64" s="2" t="n">
        <x:v>63</x:v>
      </x:c>
      <x:c r="B64" s="2" t="inlineStr">
        <x:is>
          <x:t xml:space="preserve">PRJ-301</x:t>
        </x:is>
      </x:c>
      <x:c r="C64" s="2" t="inlineStr">
        <x:is>
          <x:t xml:space="preserve">2025-03</x:t>
        </x:is>
      </x:c>
      <x:c r="D64" s="2" t="inlineStr">
        <x:is>
          <x:t xml:space="preserve">Open</x:t>
        </x:is>
      </x:c>
      <x:c r="E64" s="3" t="inlineStr">
        <x:is>
          <x:t xml:space="preserve">Команда</x:t>
        </x:is>
      </x:c>
      <x:c r="F64" s="3" t="inlineStr">
        <x:is>
          <x:t xml:space="preserve">Командировки/проезд</x:t>
        </x:is>
      </x:c>
      <x:c r="G64" s="2" t="inlineStr">
        <x:is>
          <x:t xml:space="preserve">PM</x:t>
        </x:is>
      </x:c>
      <x:c r="H64" s="4" t="n">
        <x:v>55100</x:v>
      </x:c>
      <x:c r="I64" s="4" t="n">
        <x:v>59300</x:v>
      </x:c>
      <x:c r="J64" s="4">
        <x:f>IF($I64="","",$I64-$H64)</x:f>
      </x:c>
      <x:c r="K64" s="5">
        <x:f>IF($I64="","",($I64-$H64)/$H64)</x:f>
      </x:c>
      <x:c r="L64" s="2">
        <x:f>IF($I64="","Planned",IF($I64&gt;$H64,"Over",IF($I64&lt;$H64,"Under","On plan")))</x:f>
      </x:c>
      <x:c r="M64" s="2">
        <x:f>IF($I64="","",IF(AND($J64&gt;50000,$K64&gt;0.2),"CRITICAL",""))</x:f>
      </x:c>
      <x:c r="N64" s="2" t="inlineStr">
        <x:is>
          <x:t xml:space="preserve">Yes</x:t>
        </x:is>
      </x:c>
      <x:c r="O64" s="3" t="inlineStr">
        <x:is>
          <x:t xml:space="preserve">перерасход: привлекли редкого специалиста по повышенной ставке</x:t>
        </x:is>
      </x:c>
    </x:row>
    <x:row r="65">
      <x:c r="A65" s="2" t="n">
        <x:v>64</x:v>
      </x:c>
      <x:c r="B65" s="2" t="inlineStr">
        <x:is>
          <x:t xml:space="preserve">PRJ-301</x:t>
        </x:is>
      </x:c>
      <x:c r="C65" s="2" t="inlineStr">
        <x:is>
          <x:t xml:space="preserve">2025-03</x:t>
        </x:is>
      </x:c>
      <x:c r="D65" s="2" t="inlineStr">
        <x:is>
          <x:t xml:space="preserve">Open</x:t>
        </x:is>
      </x:c>
      <x:c r="E65" s="3" t="inlineStr">
        <x:is>
          <x:t xml:space="preserve">Операционные</x:t>
        </x:is>
      </x:c>
      <x:c r="F65" s="3" t="inlineStr">
        <x:is>
          <x:t xml:space="preserve">Непредвиденные/резерв</x:t>
        </x:is>
      </x:c>
      <x:c r="G65" s="2" t="inlineStr">
        <x:is>
          <x:t xml:space="preserve">PM</x:t>
        </x:is>
      </x:c>
      <x:c r="H65" s="4" t="n">
        <x:v>43600</x:v>
      </x:c>
      <x:c r="I65" s="4" t="n"/>
      <x:c r="J65" s="4">
        <x:f>IF($I65="","",$I65-$H65)</x:f>
      </x:c>
      <x:c r="K65" s="5">
        <x:f>IF($I65="","",($I65-$H65)/$H65)</x:f>
      </x:c>
      <x:c r="L65" s="2">
        <x:f>IF($I65="","Planned",IF($I65&gt;$H65,"Over",IF($I65&lt;$H65,"Under","On plan")))</x:f>
      </x:c>
      <x:c r="M65" s="2">
        <x:f>IF($I65="","",IF(AND($J65&gt;50000,$K65&gt;0.2),"CRITICAL",""))</x:f>
      </x:c>
      <x:c r="N65" s="2" t="inlineStr">
        <x:is>
          <x:t xml:space="preserve">No</x:t>
        </x:is>
      </x:c>
      <x:c r="O65" s="3" t="inlineStr">
        <x:is>
          <x:t xml:space="preserve">факт не заполнен: ожидается счёт/акт, поэтому пока только план</x:t>
        </x:is>
      </x:c>
    </x:row>
    <x:row r="66">
      <x:c r="A66" s="2" t="n">
        <x:v>65</x:v>
      </x:c>
      <x:c r="B66" s="2" t="inlineStr">
        <x:is>
          <x:t xml:space="preserve">PRJ-301</x:t>
        </x:is>
      </x:c>
      <x:c r="C66" s="2" t="inlineStr">
        <x:is>
          <x:t xml:space="preserve">2025-03</x:t>
        </x:is>
      </x:c>
      <x:c r="D66" s="2" t="inlineStr">
        <x:is>
          <x:t xml:space="preserve">Open</x:t>
        </x:is>
      </x:c>
      <x:c r="E66" s="3" t="inlineStr">
        <x:is>
          <x:t xml:space="preserve">Операционные</x:t>
        </x:is>
      </x:c>
      <x:c r="F66" s="3" t="inlineStr">
        <x:is>
          <x:t xml:space="preserve">Печать/полиграфия</x:t>
        </x:is>
      </x:c>
      <x:c r="G66" s="2" t="inlineStr">
        <x:is>
          <x:t xml:space="preserve">Marketing</x:t>
        </x:is>
      </x:c>
      <x:c r="H66" s="4" t="n">
        <x:v>10800</x:v>
      </x:c>
      <x:c r="I66" s="4" t="n">
        <x:v>6300</x:v>
      </x:c>
      <x:c r="J66" s="4">
        <x:f>IF($I66="","",$I66-$H66)</x:f>
      </x:c>
      <x:c r="K66" s="5">
        <x:f>IF($I66="","",($I66-$H66)/$H66)</x:f>
      </x:c>
      <x:c r="L66" s="2">
        <x:f>IF($I66="","Planned",IF($I66&gt;$H66,"Over",IF($I66&lt;$H66,"Under","On plan")))</x:f>
      </x:c>
      <x:c r="M66" s="2">
        <x:f>IF($I66="","",IF(AND($J66&gt;50000,$K66&gt;0.2),"CRITICAL",""))</x:f>
      </x:c>
      <x:c r="N66" s="2" t="inlineStr">
        <x:is>
          <x:t xml:space="preserve">Yes</x:t>
        </x:is>
      </x:c>
      <x:c r="O66" s="3" t="inlineStr">
        <x:is>
          <x:t xml:space="preserve">экономия: перенос активности снизил расходы</x:t>
        </x:is>
      </x:c>
    </x:row>
    <x:row r="67">
      <x:c r="A67" s="2" t="n">
        <x:v>66</x:v>
      </x:c>
      <x:c r="B67" s="2" t="inlineStr">
        <x:is>
          <x:t xml:space="preserve">PRJ-301</x:t>
        </x:is>
      </x:c>
      <x:c r="C67" s="2" t="inlineStr">
        <x:is>
          <x:t xml:space="preserve">2025-03</x:t>
        </x:is>
      </x:c>
      <x:c r="D67" s="2" t="inlineStr">
        <x:is>
          <x:t xml:space="preserve">Open</x:t>
        </x:is>
      </x:c>
      <x:c r="E67" s="3" t="inlineStr">
        <x:is>
          <x:t xml:space="preserve">Операционные</x:t>
        </x:is>
      </x:c>
      <x:c r="F67" s="3" t="inlineStr">
        <x:is>
          <x:t xml:space="preserve">Сервисы обратной связи (опросы)</x:t>
        </x:is>
      </x:c>
      <x:c r="G67" s="2" t="inlineStr">
        <x:is>
          <x:t xml:space="preserve">Analyst</x:t>
        </x:is>
      </x:c>
      <x:c r="H67" s="4" t="n">
        <x:v>5700</x:v>
      </x:c>
      <x:c r="I67" s="4" t="n">
        <x:v>7200</x:v>
      </x:c>
      <x:c r="J67" s="4">
        <x:f>IF($I67="","",$I67-$H67)</x:f>
      </x:c>
      <x:c r="K67" s="5">
        <x:f>IF($I67="","",($I67-$H67)/$H67)</x:f>
      </x:c>
      <x:c r="L67" s="2">
        <x:f>IF($I67="","Planned",IF($I67&gt;$H67,"Over",IF($I67&lt;$H67,"Under","On plan")))</x:f>
      </x:c>
      <x:c r="M67" s="2">
        <x:f>IF($I67="","",IF(AND($J67&gt;50000,$K67&gt;0.2),"CRITICAL",""))</x:f>
      </x:c>
      <x:c r="N67" s="2" t="inlineStr">
        <x:is>
          <x:t xml:space="preserve">Yes</x:t>
        </x:is>
      </x:c>
      <x:c r="O67" s="3" t="inlineStr">
        <x:is>
          <x:t xml:space="preserve">по плану: фактическая сумма соответствует договору/тарифу</x:t>
        </x:is>
      </x:c>
    </x:row>
    <x:row r="68">
      <x:c r="A68" s="2" t="n">
        <x:v>67</x:v>
      </x:c>
      <x:c r="B68" s="2" t="inlineStr">
        <x:is>
          <x:t xml:space="preserve">PRJ-301</x:t>
        </x:is>
      </x:c>
      <x:c r="C68" s="2" t="inlineStr">
        <x:is>
          <x:t xml:space="preserve">2025-03</x:t>
        </x:is>
      </x:c>
      <x:c r="D68" s="2" t="inlineStr">
        <x:is>
          <x:t xml:space="preserve">Open</x:t>
        </x:is>
      </x:c>
      <x:c r="E68" s="3" t="inlineStr">
        <x:is>
          <x:t xml:space="preserve">Операционные</x:t>
        </x:is>
      </x:c>
      <x:c r="F68" s="3" t="inlineStr">
        <x:is>
          <x:t xml:space="preserve">Платежи/комиссии</x:t>
        </x:is>
      </x:c>
      <x:c r="G68" s="2" t="inlineStr">
        <x:is>
          <x:t xml:space="preserve">Admin</x:t>
        </x:is>
      </x:c>
      <x:c r="H68" s="4" t="n">
        <x:v>1500</x:v>
      </x:c>
      <x:c r="I68" s="4" t="n">
        <x:v>1400</x:v>
      </x:c>
      <x:c r="J68" s="4">
        <x:f>IF($I68="","",$I68-$H68)</x:f>
      </x:c>
      <x:c r="K68" s="5">
        <x:f>IF($I68="","",($I68-$H68)/$H68)</x:f>
      </x:c>
      <x:c r="L68" s="2">
        <x:f>IF($I68="","Planned",IF($I68&gt;$H68,"Over",IF($I68&lt;$H68,"Under","On plan")))</x:f>
      </x:c>
      <x:c r="M68" s="2">
        <x:f>IF($I68="","",IF(AND($J68&gt;50000,$K68&gt;0.2),"CRITICAL",""))</x:f>
      </x:c>
      <x:c r="N68" s="2" t="inlineStr">
        <x:is>
          <x:t xml:space="preserve">Yes</x:t>
        </x:is>
      </x:c>
      <x:c r="O68" s="3" t="inlineStr">
        <x:is>
          <x:t xml:space="preserve">по плану: закрыли месяц без существенных отклонений</x:t>
        </x:is>
      </x:c>
    </x:row>
    <x:row r="69">
      <x:c r="A69" s="2" t="n">
        <x:v>68</x:v>
      </x:c>
      <x:c r="B69" s="2" t="inlineStr">
        <x:is>
          <x:t xml:space="preserve">PRJ-301</x:t>
        </x:is>
      </x:c>
      <x:c r="C69" s="2" t="inlineStr">
        <x:is>
          <x:t xml:space="preserve">2025-03</x:t>
        </x:is>
      </x:c>
      <x:c r="D69" s="2" t="inlineStr">
        <x:is>
          <x:t xml:space="preserve">Open</x:t>
        </x:is>
      </x:c>
      <x:c r="E69" s="3" t="inlineStr">
        <x:is>
          <x:t xml:space="preserve">Безопасность</x:t>
        </x:is>
      </x:c>
      <x:c r="F69" s="3" t="inlineStr">
        <x:is>
          <x:t xml:space="preserve">Пентест/аудит</x:t>
        </x:is>
      </x:c>
      <x:c r="G69" s="2" t="inlineStr">
        <x:is>
          <x:t xml:space="preserve">DevOps</x:t>
        </x:is>
      </x:c>
      <x:c r="H69" s="4" t="n">
        <x:v>89100</x:v>
      </x:c>
      <x:c r="I69" s="4" t="n">
        <x:v>110700</x:v>
      </x:c>
      <x:c r="J69" s="4">
        <x:f>IF($I69="","",$I69-$H69)</x:f>
      </x:c>
      <x:c r="K69" s="5">
        <x:f>IF($I69="","",($I69-$H69)/$H69)</x:f>
      </x:c>
      <x:c r="L69" s="2">
        <x:f>IF($I69="","Planned",IF($I69&gt;$H69,"Over",IF($I69&lt;$H69,"Under","On plan")))</x:f>
      </x:c>
      <x:c r="M69" s="2">
        <x:f>IF($I69="","",IF(AND($J69&gt;50000,$K69&gt;0.2),"CRITICAL",""))</x:f>
      </x:c>
      <x:c r="N69" s="2" t="inlineStr">
        <x:is>
          <x:t xml:space="preserve">No</x:t>
        </x:is>
      </x:c>
      <x:c r="O69" s="3" t="inlineStr">
        <x:is>
          <x:t xml:space="preserve">перерасход: срочное устранение уязвимостей (доп. работы)</x:t>
        </x:is>
      </x:c>
    </x:row>
    <x:row r="70">
      <x:c r="A70" s="2" t="n">
        <x:v>69</x:v>
      </x:c>
      <x:c r="B70" s="2" t="inlineStr">
        <x:is>
          <x:t xml:space="preserve">PRJ-301</x:t>
        </x:is>
      </x:c>
      <x:c r="C70" s="2" t="inlineStr">
        <x:is>
          <x:t xml:space="preserve">2025-03</x:t>
        </x:is>
      </x:c>
      <x:c r="D70" s="2" t="inlineStr">
        <x:is>
          <x:t xml:space="preserve">Open</x:t>
        </x:is>
      </x:c>
      <x:c r="E70" s="3" t="inlineStr">
        <x:is>
          <x:t xml:space="preserve">Безопасность</x:t>
        </x:is>
      </x:c>
      <x:c r="F70" s="3" t="inlineStr">
        <x:is>
          <x:t xml:space="preserve">Сканер уязвимостей</x:t>
        </x:is>
      </x:c>
      <x:c r="G70" s="2" t="inlineStr">
        <x:is>
          <x:t xml:space="preserve">DevOps</x:t>
        </x:is>
      </x:c>
      <x:c r="H70" s="4" t="n">
        <x:v>23100</x:v>
      </x:c>
      <x:c r="I70" s="4" t="n">
        <x:v>23100</x:v>
      </x:c>
      <x:c r="J70" s="4">
        <x:f>IF($I70="","",$I70-$H70)</x:f>
      </x:c>
      <x:c r="K70" s="5">
        <x:f>IF($I70="","",($I70-$H70)/$H70)</x:f>
      </x:c>
      <x:c r="L70" s="2">
        <x:f>IF($I70="","Planned",IF($I70&gt;$H70,"Over",IF($I70&lt;$H70,"Under","On plan")))</x:f>
      </x:c>
      <x:c r="M70" s="2">
        <x:f>IF($I70="","",IF(AND($J70&gt;50000,$K70&gt;0.2),"CRITICAL",""))</x:f>
      </x:c>
      <x:c r="N70" s="2" t="inlineStr">
        <x:is>
          <x:t xml:space="preserve">Yes</x:t>
        </x:is>
      </x:c>
      <x:c r="O70" s="3" t="inlineStr">
        <x:is>
          <x:t xml:space="preserve">по плану: расход соответствует смете, отклонение в пределах допуска</x:t>
        </x:is>
      </x:c>
    </x:row>
    <x:row r="71">
      <x:c r="A71" s="2" t="n">
        <x:v>70</x:v>
      </x:c>
      <x:c r="B71" s="2" t="inlineStr">
        <x:is>
          <x:t xml:space="preserve">PRJ-301</x:t>
        </x:is>
      </x:c>
      <x:c r="C71" s="2" t="inlineStr">
        <x:is>
          <x:t xml:space="preserve">2025-03</x:t>
        </x:is>
      </x:c>
      <x:c r="D71" s="2" t="inlineStr">
        <x:is>
          <x:t xml:space="preserve">Open</x:t>
        </x:is>
      </x:c>
      <x:c r="E71" s="3" t="inlineStr">
        <x:is>
          <x:t xml:space="preserve">Тестирование</x:t>
        </x:is>
      </x:c>
      <x:c r="F71" s="3" t="inlineStr">
        <x:is>
          <x:t xml:space="preserve">Тестовые аккаунты/подписки</x:t>
        </x:is>
      </x:c>
      <x:c r="G71" s="2" t="inlineStr">
        <x:is>
          <x:t xml:space="preserve">QA</x:t>
        </x:is>
      </x:c>
      <x:c r="H71" s="4" t="n">
        <x:v>19300</x:v>
      </x:c>
      <x:c r="I71" s="4" t="n"/>
      <x:c r="J71" s="4">
        <x:f>IF($I71="","",$I71-$H71)</x:f>
      </x:c>
      <x:c r="K71" s="5">
        <x:f>IF($I71="","",($I71-$H71)/$H71)</x:f>
      </x:c>
      <x:c r="L71" s="2">
        <x:f>IF($I71="","Planned",IF($I71&gt;$H71,"Over",IF($I71&lt;$H71,"Under","On plan")))</x:f>
      </x:c>
      <x:c r="M71" s="2">
        <x:f>IF($I71="","",IF(AND($J71&gt;50000,$K71&gt;0.2),"CRITICAL",""))</x:f>
      </x:c>
      <x:c r="N71" s="2" t="inlineStr">
        <x:is>
          <x:t xml:space="preserve">No</x:t>
        </x:is>
      </x:c>
      <x:c r="O71" s="3" t="inlineStr">
        <x:is>
          <x:t xml:space="preserve">факт не заполнен: месяц в плане, ожидаем документы от поставщика</x:t>
        </x:is>
      </x:c>
    </x:row>
    <x:row r="72">
      <x:c r="A72" s="2" t="n">
        <x:v>71</x:v>
      </x:c>
      <x:c r="B72" s="2" t="inlineStr">
        <x:is>
          <x:t xml:space="preserve">PRJ-301</x:t>
        </x:is>
      </x:c>
      <x:c r="C72" s="2" t="inlineStr">
        <x:is>
          <x:t xml:space="preserve">2025-03</x:t>
        </x:is>
      </x:c>
      <x:c r="D72" s="2" t="inlineStr">
        <x:is>
          <x:t xml:space="preserve">Open</x:t>
        </x:is>
      </x:c>
      <x:c r="E72" s="3" t="inlineStr">
        <x:is>
          <x:t xml:space="preserve">Тестирование</x:t>
        </x:is>
      </x:c>
      <x:c r="F72" s="3" t="inlineStr">
        <x:is>
          <x:t xml:space="preserve">Сервис баг-трекинга (доп.)</x:t>
        </x:is>
      </x:c>
      <x:c r="G72" s="2" t="inlineStr">
        <x:is>
          <x:t xml:space="preserve">QA</x:t>
        </x:is>
      </x:c>
      <x:c r="H72" s="4" t="n">
        <x:v>9000</x:v>
      </x:c>
      <x:c r="I72" s="4" t="n">
        <x:v>9900</x:v>
      </x:c>
      <x:c r="J72" s="4">
        <x:f>IF($I72="","",$I72-$H72)</x:f>
      </x:c>
      <x:c r="K72" s="5">
        <x:f>IF($I72="","",($I72-$H72)/$H72)</x:f>
      </x:c>
      <x:c r="L72" s="2">
        <x:f>IF($I72="","Planned",IF($I72&gt;$H72,"Over",IF($I72&lt;$H72,"Under","On plan")))</x:f>
      </x:c>
      <x:c r="M72" s="2">
        <x:f>IF($I72="","",IF(AND($J72&gt;50000,$K72&gt;0.2),"CRITICAL",""))</x:f>
      </x:c>
      <x:c r="N72" s="2" t="inlineStr">
        <x:is>
          <x:t xml:space="preserve">Yes</x:t>
        </x:is>
      </x:c>
      <x:c r="O72" s="3" t="inlineStr">
        <x:is>
          <x:t xml:space="preserve">по плану: расход соответствует смете, отклонение в пределах допуска</x:t>
        </x:is>
      </x:c>
    </x:row>
    <x:row r="73">
      <x:c r="A73" s="2" t="n">
        <x:v>72</x:v>
      </x:c>
      <x:c r="B73" s="2" t="inlineStr">
        <x:is>
          <x:t xml:space="preserve">PRJ-301</x:t>
        </x:is>
      </x:c>
      <x:c r="C73" s="2" t="inlineStr">
        <x:is>
          <x:t xml:space="preserve">2025-03</x:t>
        </x:is>
      </x:c>
      <x:c r="D73" s="2" t="inlineStr">
        <x:is>
          <x:t xml:space="preserve">Open</x:t>
        </x:is>
      </x:c>
      <x:c r="E73" s="3" t="inlineStr">
        <x:is>
          <x:t xml:space="preserve">Контент</x:t>
        </x:is>
      </x:c>
      <x:c r="F73" s="3" t="inlineStr">
        <x:is>
          <x:t xml:space="preserve">Запись видео/монтаж</x:t>
        </x:is>
      </x:c>
      <x:c r="G73" s="2" t="inlineStr">
        <x:is>
          <x:t xml:space="preserve">Marketing</x:t>
        </x:is>
      </x:c>
      <x:c r="H73" s="4" t="n">
        <x:v>47500</x:v>
      </x:c>
      <x:c r="I73" s="4" t="n"/>
      <x:c r="J73" s="4">
        <x:f>IF($I73="","",$I73-$H73)</x:f>
      </x:c>
      <x:c r="K73" s="5">
        <x:f>IF($I73="","",($I73-$H73)/$H73)</x:f>
      </x:c>
      <x:c r="L73" s="2">
        <x:f>IF($I73="","Planned",IF($I73&gt;$H73,"Over",IF($I73&lt;$H73,"Under","On plan")))</x:f>
      </x:c>
      <x:c r="M73" s="2">
        <x:f>IF($I73="","",IF(AND($J73&gt;50000,$K73&gt;0.2),"CRITICAL",""))</x:f>
      </x:c>
      <x:c r="N73" s="2" t="inlineStr">
        <x:is>
          <x:t xml:space="preserve">No</x:t>
        </x:is>
      </x:c>
      <x:c r="O73" s="3" t="inlineStr">
        <x:is>
          <x:t xml:space="preserve">факт не заполнен: расходы запланированы, но оплат ещё не было</x:t>
        </x:is>
      </x:c>
    </x:row>
    <x:row r="74">
      <x:c r="A74" s="2" t="n">
        <x:v>73</x:v>
      </x:c>
      <x:c r="B74" s="2" t="inlineStr">
        <x:is>
          <x:t xml:space="preserve">PRJ-301</x:t>
        </x:is>
      </x:c>
      <x:c r="C74" s="2" t="inlineStr">
        <x:is>
          <x:t xml:space="preserve">2025-03</x:t>
        </x:is>
      </x:c>
      <x:c r="D74" s="2" t="inlineStr">
        <x:is>
          <x:t xml:space="preserve">Open</x:t>
        </x:is>
      </x:c>
      <x:c r="E74" s="3" t="inlineStr">
        <x:is>
          <x:t xml:space="preserve">Контент</x:t>
        </x:is>
      </x:c>
      <x:c r="F74" s="3" t="inlineStr">
        <x:is>
          <x:t xml:space="preserve">Озвучка/диктор</x:t>
        </x:is>
      </x:c>
      <x:c r="G74" s="2" t="inlineStr">
        <x:is>
          <x:t xml:space="preserve">Marketing</x:t>
        </x:is>
      </x:c>
      <x:c r="H74" s="4" t="n">
        <x:v>27800</x:v>
      </x:c>
      <x:c r="I74" s="4" t="n">
        <x:v>34300</x:v>
      </x:c>
      <x:c r="J74" s="4">
        <x:f>IF($I74="","",$I74-$H74)</x:f>
      </x:c>
      <x:c r="K74" s="5">
        <x:f>IF($I74="","",($I74-$H74)/$H74)</x:f>
      </x:c>
      <x:c r="L74" s="2">
        <x:f>IF($I74="","Planned",IF($I74&gt;$H74,"Over",IF($I74&lt;$H74,"Under","On plan")))</x:f>
      </x:c>
      <x:c r="M74" s="2">
        <x:f>IF($I74="","",IF(AND($J74&gt;50000,$K74&gt;0.2),"CRITICAL",""))</x:f>
      </x:c>
      <x:c r="N74" s="2" t="inlineStr">
        <x:is>
          <x:t xml:space="preserve">Yes</x:t>
        </x:is>
      </x:c>
      <x:c r="O74" s="3" t="inlineStr">
        <x:is>
          <x:t xml:space="preserve">перерасход: срочная переработка контента под новый формат</x:t>
        </x:is>
      </x:c>
    </x:row>
    <x:row r="75">
      <x:c r="A75" s="2" t="n">
        <x:v>74</x:v>
      </x:c>
      <x:c r="B75" s="2" t="inlineStr">
        <x:is>
          <x:t xml:space="preserve">PRJ-301</x:t>
        </x:is>
      </x:c>
      <x:c r="C75" s="2" t="inlineStr">
        <x:is>
          <x:t xml:space="preserve">2025-03</x:t>
        </x:is>
      </x:c>
      <x:c r="D75" s="2" t="inlineStr">
        <x:is>
          <x:t xml:space="preserve">Open</x:t>
        </x:is>
      </x:c>
      <x:c r="E75" s="3" t="inlineStr">
        <x:is>
          <x:t xml:space="preserve">Контент</x:t>
        </x:is>
      </x:c>
      <x:c r="F75" s="3" t="inlineStr">
        <x:is>
          <x:t xml:space="preserve">Фотосъёмка/материалы</x:t>
        </x:is>
      </x:c>
      <x:c r="G75" s="2" t="inlineStr">
        <x:is>
          <x:t xml:space="preserve">Marketing</x:t>
        </x:is>
      </x:c>
      <x:c r="H75" s="4" t="n">
        <x:v>27300</x:v>
      </x:c>
      <x:c r="I75" s="4" t="n">
        <x:v>24800</x:v>
      </x:c>
      <x:c r="J75" s="4">
        <x:f>IF($I75="","",$I75-$H75)</x:f>
      </x:c>
      <x:c r="K75" s="5">
        <x:f>IF($I75="","",($I75-$H75)/$H75)</x:f>
      </x:c>
      <x:c r="L75" s="2">
        <x:f>IF($I75="","Planned",IF($I75&gt;$H75,"Over",IF($I75&lt;$H75,"Under","On plan")))</x:f>
      </x:c>
      <x:c r="M75" s="2">
        <x:f>IF($I75="","",IF(AND($J75&gt;50000,$K75&gt;0.2),"CRITICAL",""))</x:f>
      </x:c>
      <x:c r="N75" s="2" t="inlineStr">
        <x:is>
          <x:t xml:space="preserve">No</x:t>
        </x:is>
      </x:c>
      <x:c r="O75" s="3" t="inlineStr">
        <x:is>
          <x:t xml:space="preserve">экономия: использовали стоковые ресурсы/библиотеки</x:t>
        </x:is>
      </x:c>
    </x:row>
    <x:row r="76">
      <x:c r="A76" s="2" t="n">
        <x:v>75</x:v>
      </x:c>
      <x:c r="B76" s="2" t="inlineStr">
        <x:is>
          <x:t xml:space="preserve">PRJ-301</x:t>
        </x:is>
      </x:c>
      <x:c r="C76" s="2" t="inlineStr">
        <x:is>
          <x:t xml:space="preserve">2025-03</x:t>
        </x:is>
      </x:c>
      <x:c r="D76" s="2" t="inlineStr">
        <x:is>
          <x:t xml:space="preserve">Open</x:t>
        </x:is>
      </x:c>
      <x:c r="E76" s="3" t="inlineStr">
        <x:is>
          <x:t xml:space="preserve">Интеграции</x:t>
        </x:is>
      </x:c>
      <x:c r="F76" s="3" t="inlineStr">
        <x:is>
          <x:t xml:space="preserve">API-подписки (платные)</x:t>
        </x:is>
      </x:c>
      <x:c r="G76" s="2" t="inlineStr">
        <x:is>
          <x:t xml:space="preserve">Backend</x:t>
        </x:is>
      </x:c>
      <x:c r="H76" s="4" t="n">
        <x:v>33100</x:v>
      </x:c>
      <x:c r="I76" s="4" t="n">
        <x:v>33700</x:v>
      </x:c>
      <x:c r="J76" s="4">
        <x:f>IF($I76="","",$I76-$H76)</x:f>
      </x:c>
      <x:c r="K76" s="5">
        <x:f>IF($I76="","",($I76-$H76)/$H76)</x:f>
      </x:c>
      <x:c r="L76" s="2">
        <x:f>IF($I76="","Planned",IF($I76&gt;$H76,"Over",IF($I76&lt;$H76,"Under","On plan")))</x:f>
      </x:c>
      <x:c r="M76" s="2">
        <x:f>IF($I76="","",IF(AND($J76&gt;50000,$K76&gt;0.2),"CRITICAL",""))</x:f>
      </x:c>
      <x:c r="N76" s="2" t="inlineStr">
        <x:is>
          <x:t xml:space="preserve">Yes</x:t>
        </x:is>
      </x:c>
      <x:c r="O76" s="3" t="inlineStr">
        <x:is>
          <x:t xml:space="preserve">по плану: расход соответствует смете, отклонение в пределах допуска</x:t>
        </x:is>
      </x:c>
    </x:row>
    <x:row r="77">
      <x:c r="A77" s="2" t="n">
        <x:v>76</x:v>
      </x:c>
      <x:c r="B77" s="2" t="inlineStr">
        <x:is>
          <x:t xml:space="preserve">PRJ-301</x:t>
        </x:is>
      </x:c>
      <x:c r="C77" s="2" t="inlineStr">
        <x:is>
          <x:t xml:space="preserve">2025-04</x:t>
        </x:is>
      </x:c>
      <x:c r="D77" s="2" t="inlineStr">
        <x:is>
          <x:t xml:space="preserve">Planned</x:t>
        </x:is>
      </x:c>
      <x:c r="E77" s="3" t="inlineStr">
        <x:is>
          <x:t xml:space="preserve">Данные</x:t>
        </x:is>
      </x:c>
      <x:c r="F77" s="3" t="inlineStr">
        <x:is>
          <x:t xml:space="preserve">Покупка датасета/доступ</x:t>
        </x:is>
      </x:c>
      <x:c r="G77" s="2" t="inlineStr">
        <x:is>
          <x:t xml:space="preserve">Analyst</x:t>
        </x:is>
      </x:c>
      <x:c r="H77" s="4" t="n">
        <x:v>26900</x:v>
      </x:c>
      <x:c r="I77" s="4" t="n"/>
      <x:c r="J77" s="4">
        <x:f>IF($I77="","",$I77-$H77)</x:f>
      </x:c>
      <x:c r="K77" s="5">
        <x:f>IF($I77="","",($I77-$H77)/$H77)</x:f>
      </x:c>
      <x:c r="L77" s="2">
        <x:f>IF($I77="","Planned",IF($I77&gt;$H77,"Over",IF($I77&lt;$H77,"Under","On plan")))</x:f>
      </x:c>
      <x:c r="M77" s="2">
        <x:f>IF($I77="","",IF(AND($J77&gt;50000,$K77&gt;0.2),"CRITICAL",""))</x:f>
      </x:c>
      <x:c r="N77" s="2" t="inlineStr">
        <x:is>
          <x:t xml:space="preserve">No</x:t>
        </x:is>
      </x:c>
      <x:c r="O77" s="3" t="inlineStr">
        <x:is>
          <x:t xml:space="preserve">факт не заполнен: месяц в плане, ожидаем документы от поставщика</x:t>
        </x:is>
      </x:c>
    </x:row>
    <x:row r="78">
      <x:c r="A78" s="2" t="n">
        <x:v>77</x:v>
      </x:c>
      <x:c r="B78" s="2" t="inlineStr">
        <x:is>
          <x:t xml:space="preserve">PRJ-301</x:t>
        </x:is>
      </x:c>
      <x:c r="C78" s="2" t="inlineStr">
        <x:is>
          <x:t xml:space="preserve">2025-04</x:t>
        </x:is>
      </x:c>
      <x:c r="D78" s="2" t="inlineStr">
        <x:is>
          <x:t xml:space="preserve">Planned</x:t>
        </x:is>
      </x:c>
      <x:c r="E78" s="3" t="inlineStr">
        <x:is>
          <x:t xml:space="preserve">Данные</x:t>
        </x:is>
      </x:c>
      <x:c r="F78" s="3" t="inlineStr">
        <x:is>
          <x:t xml:space="preserve">Разметка данных (аутсорс)</x:t>
        </x:is>
      </x:c>
      <x:c r="G78" s="2" t="inlineStr">
        <x:is>
          <x:t xml:space="preserve">Analyst</x:t>
        </x:is>
      </x:c>
      <x:c r="H78" s="4" t="n">
        <x:v>79700</x:v>
      </x:c>
      <x:c r="I78" s="4" t="n"/>
      <x:c r="J78" s="4">
        <x:f>IF($I78="","",$I78-$H78)</x:f>
      </x:c>
      <x:c r="K78" s="5">
        <x:f>IF($I78="","",($I78-$H78)/$H78)</x:f>
      </x:c>
      <x:c r="L78" s="2">
        <x:f>IF($I78="","Planned",IF($I78&gt;$H78,"Over",IF($I78&lt;$H78,"Under","On plan")))</x:f>
      </x:c>
      <x:c r="M78" s="2">
        <x:f>IF($I78="","",IF(AND($J78&gt;50000,$K78&gt;0.2),"CRITICAL",""))</x:f>
      </x:c>
      <x:c r="N78" s="2" t="inlineStr">
        <x:is>
          <x:t xml:space="preserve">No</x:t>
        </x:is>
      </x:c>
      <x:c r="O78" s="3" t="inlineStr">
        <x:is>
          <x:t xml:space="preserve">факт не заполнен: расходы запланированы, но оплат ещё не было</x:t>
        </x:is>
      </x:c>
    </x:row>
    <x:row r="79">
      <x:c r="A79" s="2" t="n">
        <x:v>78</x:v>
      </x:c>
      <x:c r="B79" s="2" t="inlineStr">
        <x:is>
          <x:t xml:space="preserve">PRJ-301</x:t>
        </x:is>
      </x:c>
      <x:c r="C79" s="2" t="inlineStr">
        <x:is>
          <x:t xml:space="preserve">2025-04</x:t>
        </x:is>
      </x:c>
      <x:c r="D79" s="2" t="inlineStr">
        <x:is>
          <x:t xml:space="preserve">Planned</x:t>
        </x:is>
      </x:c>
      <x:c r="E79" s="3" t="inlineStr">
        <x:is>
          <x:t xml:space="preserve">Юридическое</x:t>
        </x:is>
      </x:c>
      <x:c r="F79" s="3" t="inlineStr">
        <x:is>
          <x:t xml:space="preserve">Договоры/юридическая проверка</x:t>
        </x:is>
      </x:c>
      <x:c r="G79" s="2" t="inlineStr">
        <x:is>
          <x:t xml:space="preserve">PM</x:t>
        </x:is>
      </x:c>
      <x:c r="H79" s="4" t="n">
        <x:v>30400</x:v>
      </x:c>
      <x:c r="I79" s="4" t="n"/>
      <x:c r="J79" s="4">
        <x:f>IF($I79="","",$I79-$H79)</x:f>
      </x:c>
      <x:c r="K79" s="5">
        <x:f>IF($I79="","",($I79-$H79)/$H79)</x:f>
      </x:c>
      <x:c r="L79" s="2">
        <x:f>IF($I79="","Planned",IF($I79&gt;$H79,"Over",IF($I79&lt;$H79,"Under","On plan")))</x:f>
      </x:c>
      <x:c r="M79" s="2">
        <x:f>IF($I79="","",IF(AND($J79&gt;50000,$K79&gt;0.2),"CRITICAL",""))</x:f>
      </x:c>
      <x:c r="N79" s="2" t="inlineStr">
        <x:is>
          <x:t xml:space="preserve">No</x:t>
        </x:is>
      </x:c>
      <x:c r="O79" s="3" t="inlineStr">
        <x:is>
          <x:t xml:space="preserve">факт не заполнен: месяц в плане, ожидаем документы от поставщика</x:t>
        </x:is>
      </x:c>
    </x:row>
    <x:row r="80">
      <x:c r="A80" s="2" t="n">
        <x:v>79</x:v>
      </x:c>
      <x:c r="B80" s="2" t="inlineStr">
        <x:is>
          <x:t xml:space="preserve">PRJ-301</x:t>
        </x:is>
      </x:c>
      <x:c r="C80" s="2" t="inlineStr">
        <x:is>
          <x:t xml:space="preserve">2025-04</x:t>
        </x:is>
      </x:c>
      <x:c r="D80" s="2" t="inlineStr">
        <x:is>
          <x:t xml:space="preserve">Planned</x:t>
        </x:is>
      </x:c>
      <x:c r="E80" s="3" t="inlineStr">
        <x:is>
          <x:t xml:space="preserve">Команда</x:t>
        </x:is>
      </x:c>
      <x:c r="F80" s="3" t="inlineStr">
        <x:is>
          <x:t xml:space="preserve">Обучение/курсы</x:t>
        </x:is>
      </x:c>
      <x:c r="G80" s="2" t="inlineStr">
        <x:is>
          <x:t xml:space="preserve">PM</x:t>
        </x:is>
      </x:c>
      <x:c r="H80" s="4" t="n">
        <x:v>6600</x:v>
      </x:c>
      <x:c r="I80" s="4" t="n"/>
      <x:c r="J80" s="4">
        <x:f>IF($I80="","",$I80-$H80)</x:f>
      </x:c>
      <x:c r="K80" s="5">
        <x:f>IF($I80="","",($I80-$H80)/$H80)</x:f>
      </x:c>
      <x:c r="L80" s="2">
        <x:f>IF($I80="","Planned",IF($I80&gt;$H80,"Over",IF($I80&lt;$H80,"Under","On plan")))</x:f>
      </x:c>
      <x:c r="M80" s="2">
        <x:f>IF($I80="","",IF(AND($J80&gt;50000,$K80&gt;0.2),"CRITICAL",""))</x:f>
      </x:c>
      <x:c r="N80" s="2" t="inlineStr">
        <x:is>
          <x:t xml:space="preserve">No</x:t>
        </x:is>
      </x:c>
      <x:c r="O80" s="3" t="inlineStr">
        <x:is>
          <x:t xml:space="preserve">факт не заполнен: ожидается счёт/акт, поэтому пока только план</x:t>
        </x:is>
      </x:c>
    </x:row>
    <x:row r="81">
      <x:c r="A81" s="2" t="n">
        <x:v>80</x:v>
      </x:c>
      <x:c r="B81" s="2" t="inlineStr">
        <x:is>
          <x:t xml:space="preserve">PRJ-301</x:t>
        </x:is>
      </x:c>
      <x:c r="C81" s="2" t="inlineStr">
        <x:is>
          <x:t xml:space="preserve">2025-04</x:t>
        </x:is>
      </x:c>
      <x:c r="D81" s="2" t="inlineStr">
        <x:is>
          <x:t xml:space="preserve">Planned</x:t>
        </x:is>
      </x:c>
      <x:c r="E81" s="3" t="inlineStr">
        <x:is>
          <x:t xml:space="preserve">Команда</x:t>
        </x:is>
      </x:c>
      <x:c r="F81" s="3" t="inlineStr">
        <x:is>
          <x:t xml:space="preserve">Мероприятия/конференции</x:t>
        </x:is>
      </x:c>
      <x:c r="G81" s="2" t="inlineStr">
        <x:is>
          <x:t xml:space="preserve">PM</x:t>
        </x:is>
      </x:c>
      <x:c r="H81" s="4" t="n">
        <x:v>29300</x:v>
      </x:c>
      <x:c r="I81" s="4" t="n"/>
      <x:c r="J81" s="4">
        <x:f>IF($I81="","",$I81-$H81)</x:f>
      </x:c>
      <x:c r="K81" s="5">
        <x:f>IF($I81="","",($I81-$H81)/$H81)</x:f>
      </x:c>
      <x:c r="L81" s="2">
        <x:f>IF($I81="","Planned",IF($I81&gt;$H81,"Over",IF($I81&lt;$H81,"Under","On plan")))</x:f>
      </x:c>
      <x:c r="M81" s="2">
        <x:f>IF($I81="","",IF(AND($J81&gt;50000,$K81&gt;0.2),"CRITICAL",""))</x:f>
      </x:c>
      <x:c r="N81" s="2" t="inlineStr">
        <x:is>
          <x:t xml:space="preserve">No</x:t>
        </x:is>
      </x:c>
      <x:c r="O81" s="3" t="inlineStr">
        <x:is>
          <x:t xml:space="preserve">факт не заполнен: ожидается счёт/акт, поэтому пока только план</x:t>
        </x:is>
      </x:c>
    </x:row>
    <x:row r="82">
      <x:c r="A82" s="2" t="n">
        <x:v>81</x:v>
      </x:c>
      <x:c r="B82" s="2" t="inlineStr">
        <x:is>
          <x:t xml:space="preserve">PRJ-301</x:t>
        </x:is>
      </x:c>
      <x:c r="C82" s="2" t="inlineStr">
        <x:is>
          <x:t xml:space="preserve">2025-04</x:t>
        </x:is>
      </x:c>
      <x:c r="D82" s="2" t="inlineStr">
        <x:is>
          <x:t xml:space="preserve">Planned</x:t>
        </x:is>
      </x:c>
      <x:c r="E82" s="3" t="inlineStr">
        <x:is>
          <x:t xml:space="preserve">Команда</x:t>
        </x:is>
      </x:c>
      <x:c r="F82" s="3" t="inlineStr">
        <x:is>
          <x:t xml:space="preserve">Командировки/проезд</x:t>
        </x:is>
      </x:c>
      <x:c r="G82" s="2" t="inlineStr">
        <x:is>
          <x:t xml:space="preserve">PM</x:t>
        </x:is>
      </x:c>
      <x:c r="H82" s="4" t="n">
        <x:v>38700</x:v>
      </x:c>
      <x:c r="I82" s="4" t="n"/>
      <x:c r="J82" s="4">
        <x:f>IF($I82="","",$I82-$H82)</x:f>
      </x:c>
      <x:c r="K82" s="5">
        <x:f>IF($I82="","",($I82-$H82)/$H82)</x:f>
      </x:c>
      <x:c r="L82" s="2">
        <x:f>IF($I82="","Planned",IF($I82&gt;$H82,"Over",IF($I82&lt;$H82,"Under","On plan")))</x:f>
      </x:c>
      <x:c r="M82" s="2">
        <x:f>IF($I82="","",IF(AND($J82&gt;50000,$K82&gt;0.2),"CRITICAL",""))</x:f>
      </x:c>
      <x:c r="N82" s="2" t="inlineStr">
        <x:is>
          <x:t xml:space="preserve">No</x:t>
        </x:is>
      </x:c>
      <x:c r="O82" s="3" t="inlineStr">
        <x:is>
          <x:t xml:space="preserve">факт не заполнен: ожидается счёт/акт, поэтому пока только план</x:t>
        </x:is>
      </x:c>
    </x:row>
    <x:row r="83">
      <x:c r="A83" s="2" t="n">
        <x:v>82</x:v>
      </x:c>
      <x:c r="B83" s="2" t="inlineStr">
        <x:is>
          <x:t xml:space="preserve">PRJ-301</x:t>
        </x:is>
      </x:c>
      <x:c r="C83" s="2" t="inlineStr">
        <x:is>
          <x:t xml:space="preserve">2025-04</x:t>
        </x:is>
      </x:c>
      <x:c r="D83" s="2" t="inlineStr">
        <x:is>
          <x:t xml:space="preserve">Planned</x:t>
        </x:is>
      </x:c>
      <x:c r="E83" s="3" t="inlineStr">
        <x:is>
          <x:t xml:space="preserve">Операционные</x:t>
        </x:is>
      </x:c>
      <x:c r="F83" s="3" t="inlineStr">
        <x:is>
          <x:t xml:space="preserve">Непредвиденные/резерв</x:t>
        </x:is>
      </x:c>
      <x:c r="G83" s="2" t="inlineStr">
        <x:is>
          <x:t xml:space="preserve">PM</x:t>
        </x:is>
      </x:c>
      <x:c r="H83" s="4" t="n">
        <x:v>32700</x:v>
      </x:c>
      <x:c r="I83" s="4" t="n"/>
      <x:c r="J83" s="4">
        <x:f>IF($I83="","",$I83-$H83)</x:f>
      </x:c>
      <x:c r="K83" s="5">
        <x:f>IF($I83="","",($I83-$H83)/$H83)</x:f>
      </x:c>
      <x:c r="L83" s="2">
        <x:f>IF($I83="","Planned",IF($I83&gt;$H83,"Over",IF($I83&lt;$H83,"Under","On plan")))</x:f>
      </x:c>
      <x:c r="M83" s="2">
        <x:f>IF($I83="","",IF(AND($J83&gt;50000,$K83&gt;0.2),"CRITICAL",""))</x:f>
      </x:c>
      <x:c r="N83" s="2" t="inlineStr">
        <x:is>
          <x:t xml:space="preserve">No</x:t>
        </x:is>
      </x:c>
      <x:c r="O83" s="3" t="inlineStr">
        <x:is>
          <x:t xml:space="preserve">факт не заполнен: месяц в плане, ожидаем документы от поставщика</x:t>
        </x:is>
      </x:c>
    </x:row>
    <x:row r="84">
      <x:c r="A84" s="2" t="n">
        <x:v>83</x:v>
      </x:c>
      <x:c r="B84" s="2" t="inlineStr">
        <x:is>
          <x:t xml:space="preserve">PRJ-301</x:t>
        </x:is>
      </x:c>
      <x:c r="C84" s="2" t="inlineStr">
        <x:is>
          <x:t xml:space="preserve">2025-04</x:t>
        </x:is>
      </x:c>
      <x:c r="D84" s="2" t="inlineStr">
        <x:is>
          <x:t xml:space="preserve">Planned</x:t>
        </x:is>
      </x:c>
      <x:c r="E84" s="3" t="inlineStr">
        <x:is>
          <x:t xml:space="preserve">Операционные</x:t>
        </x:is>
      </x:c>
      <x:c r="F84" s="3" t="inlineStr">
        <x:is>
          <x:t xml:space="preserve">Печать/полиграфия</x:t>
        </x:is>
      </x:c>
      <x:c r="G84" s="2" t="inlineStr">
        <x:is>
          <x:t xml:space="preserve">Marketing</x:t>
        </x:is>
      </x:c>
      <x:c r="H84" s="4" t="n">
        <x:v>10400</x:v>
      </x:c>
      <x:c r="I84" s="4" t="n"/>
      <x:c r="J84" s="4">
        <x:f>IF($I84="","",$I84-$H84)</x:f>
      </x:c>
      <x:c r="K84" s="5">
        <x:f>IF($I84="","",($I84-$H84)/$H84)</x:f>
      </x:c>
      <x:c r="L84" s="2">
        <x:f>IF($I84="","Planned",IF($I84&gt;$H84,"Over",IF($I84&lt;$H84,"Under","On plan")))</x:f>
      </x:c>
      <x:c r="M84" s="2">
        <x:f>IF($I84="","",IF(AND($J84&gt;50000,$K84&gt;0.2),"CRITICAL",""))</x:f>
      </x:c>
      <x:c r="N84" s="2" t="inlineStr">
        <x:is>
          <x:t xml:space="preserve">No</x:t>
        </x:is>
      </x:c>
      <x:c r="O84" s="3" t="inlineStr">
        <x:is>
          <x:t xml:space="preserve">факт не заполнен: расходы запланированы, но оплат ещё не было</x:t>
        </x:is>
      </x:c>
    </x:row>
    <x:row r="85">
      <x:c r="A85" s="2" t="n">
        <x:v>84</x:v>
      </x:c>
      <x:c r="B85" s="2" t="inlineStr">
        <x:is>
          <x:t xml:space="preserve">PRJ-301</x:t>
        </x:is>
      </x:c>
      <x:c r="C85" s="2" t="inlineStr">
        <x:is>
          <x:t xml:space="preserve">2025-04</x:t>
        </x:is>
      </x:c>
      <x:c r="D85" s="2" t="inlineStr">
        <x:is>
          <x:t xml:space="preserve">Planned</x:t>
        </x:is>
      </x:c>
      <x:c r="E85" s="3" t="inlineStr">
        <x:is>
          <x:t xml:space="preserve">Операционные</x:t>
        </x:is>
      </x:c>
      <x:c r="F85" s="3" t="inlineStr">
        <x:is>
          <x:t xml:space="preserve">Сервисы обратной связи (опросы)</x:t>
        </x:is>
      </x:c>
      <x:c r="G85" s="2" t="inlineStr">
        <x:is>
          <x:t xml:space="preserve">Analyst</x:t>
        </x:is>
      </x:c>
      <x:c r="H85" s="4" t="n">
        <x:v>10600</x:v>
      </x:c>
      <x:c r="I85" s="4" t="n"/>
      <x:c r="J85" s="4">
        <x:f>IF($I85="","",$I85-$H85)</x:f>
      </x:c>
      <x:c r="K85" s="5">
        <x:f>IF($I85="","",($I85-$H85)/$H85)</x:f>
      </x:c>
      <x:c r="L85" s="2">
        <x:f>IF($I85="","Planned",IF($I85&gt;$H85,"Over",IF($I85&lt;$H85,"Under","On plan")))</x:f>
      </x:c>
      <x:c r="M85" s="2">
        <x:f>IF($I85="","",IF(AND($J85&gt;50000,$K85&gt;0.2),"CRITICAL",""))</x:f>
      </x:c>
      <x:c r="N85" s="2" t="inlineStr">
        <x:is>
          <x:t xml:space="preserve">No</x:t>
        </x:is>
      </x:c>
      <x:c r="O85" s="3" t="inlineStr">
        <x:is>
          <x:t xml:space="preserve">факт не заполнен: месяц в плане, ожидаем документы от поставщика</x:t>
        </x:is>
      </x:c>
    </x:row>
    <x:row r="86">
      <x:c r="A86" s="2" t="n">
        <x:v>85</x:v>
      </x:c>
      <x:c r="B86" s="2" t="inlineStr">
        <x:is>
          <x:t xml:space="preserve">PRJ-301</x:t>
        </x:is>
      </x:c>
      <x:c r="C86" s="2" t="inlineStr">
        <x:is>
          <x:t xml:space="preserve">2025-04</x:t>
        </x:is>
      </x:c>
      <x:c r="D86" s="2" t="inlineStr">
        <x:is>
          <x:t xml:space="preserve">Planned</x:t>
        </x:is>
      </x:c>
      <x:c r="E86" s="3" t="inlineStr">
        <x:is>
          <x:t xml:space="preserve">Операционные</x:t>
        </x:is>
      </x:c>
      <x:c r="F86" s="3" t="inlineStr">
        <x:is>
          <x:t xml:space="preserve">Платежи/комиссии</x:t>
        </x:is>
      </x:c>
      <x:c r="G86" s="2" t="inlineStr">
        <x:is>
          <x:t xml:space="preserve">Admin</x:t>
        </x:is>
      </x:c>
      <x:c r="H86" s="4" t="n">
        <x:v>1700</x:v>
      </x:c>
      <x:c r="I86" s="4" t="n"/>
      <x:c r="J86" s="4">
        <x:f>IF($I86="","",$I86-$H86)</x:f>
      </x:c>
      <x:c r="K86" s="5">
        <x:f>IF($I86="","",($I86-$H86)/$H86)</x:f>
      </x:c>
      <x:c r="L86" s="2">
        <x:f>IF($I86="","Planned",IF($I86&gt;$H86,"Over",IF($I86&lt;$H86,"Under","On plan")))</x:f>
      </x:c>
      <x:c r="M86" s="2">
        <x:f>IF($I86="","",IF(AND($J86&gt;50000,$K86&gt;0.2),"CRITICAL",""))</x:f>
      </x:c>
      <x:c r="N86" s="2" t="inlineStr">
        <x:is>
          <x:t xml:space="preserve">No</x:t>
        </x:is>
      </x:c>
      <x:c r="O86" s="3" t="inlineStr">
        <x:is>
          <x:t xml:space="preserve">факт не заполнен: месяц в плане, ожидаем документы от поставщика</x:t>
        </x:is>
      </x:c>
    </x:row>
    <x:row r="87">
      <x:c r="A87" s="2" t="n">
        <x:v>86</x:v>
      </x:c>
      <x:c r="B87" s="2" t="inlineStr">
        <x:is>
          <x:t xml:space="preserve">PRJ-301</x:t>
        </x:is>
      </x:c>
      <x:c r="C87" s="2" t="inlineStr">
        <x:is>
          <x:t xml:space="preserve">2025-04</x:t>
        </x:is>
      </x:c>
      <x:c r="D87" s="2" t="inlineStr">
        <x:is>
          <x:t xml:space="preserve">Planned</x:t>
        </x:is>
      </x:c>
      <x:c r="E87" s="3" t="inlineStr">
        <x:is>
          <x:t xml:space="preserve">Безопасность</x:t>
        </x:is>
      </x:c>
      <x:c r="F87" s="3" t="inlineStr">
        <x:is>
          <x:t xml:space="preserve">Пентест/аудит</x:t>
        </x:is>
      </x:c>
      <x:c r="G87" s="2" t="inlineStr">
        <x:is>
          <x:t xml:space="preserve">DevOps</x:t>
        </x:is>
      </x:c>
      <x:c r="H87" s="4" t="n">
        <x:v>29200</x:v>
      </x:c>
      <x:c r="I87" s="4" t="n"/>
      <x:c r="J87" s="4">
        <x:f>IF($I87="","",$I87-$H87)</x:f>
      </x:c>
      <x:c r="K87" s="5">
        <x:f>IF($I87="","",($I87-$H87)/$H87)</x:f>
      </x:c>
      <x:c r="L87" s="2">
        <x:f>IF($I87="","Planned",IF($I87&gt;$H87,"Over",IF($I87&lt;$H87,"Under","On plan")))</x:f>
      </x:c>
      <x:c r="M87" s="2">
        <x:f>IF($I87="","",IF(AND($J87&gt;50000,$K87&gt;0.2),"CRITICAL",""))</x:f>
      </x:c>
      <x:c r="N87" s="2" t="inlineStr">
        <x:is>
          <x:t xml:space="preserve">No</x:t>
        </x:is>
      </x:c>
      <x:c r="O87" s="3" t="inlineStr">
        <x:is>
          <x:t xml:space="preserve">факт не заполнен: расходы запланированы, но оплат ещё не было</x:t>
        </x:is>
      </x:c>
    </x:row>
    <x:row r="88">
      <x:c r="A88" s="2" t="n">
        <x:v>87</x:v>
      </x:c>
      <x:c r="B88" s="2" t="inlineStr">
        <x:is>
          <x:t xml:space="preserve">PRJ-301</x:t>
        </x:is>
      </x:c>
      <x:c r="C88" s="2" t="inlineStr">
        <x:is>
          <x:t xml:space="preserve">2025-04</x:t>
        </x:is>
      </x:c>
      <x:c r="D88" s="2" t="inlineStr">
        <x:is>
          <x:t xml:space="preserve">Planned</x:t>
        </x:is>
      </x:c>
      <x:c r="E88" s="3" t="inlineStr">
        <x:is>
          <x:t xml:space="preserve">Безопасность</x:t>
        </x:is>
      </x:c>
      <x:c r="F88" s="3" t="inlineStr">
        <x:is>
          <x:t xml:space="preserve">Сканер уязвимостей</x:t>
        </x:is>
      </x:c>
      <x:c r="G88" s="2" t="inlineStr">
        <x:is>
          <x:t xml:space="preserve">DevOps</x:t>
        </x:is>
      </x:c>
      <x:c r="H88" s="4" t="n">
        <x:v>27500</x:v>
      </x:c>
      <x:c r="I88" s="4" t="n"/>
      <x:c r="J88" s="4">
        <x:f>IF($I88="","",$I88-$H88)</x:f>
      </x:c>
      <x:c r="K88" s="5">
        <x:f>IF($I88="","",($I88-$H88)/$H88)</x:f>
      </x:c>
      <x:c r="L88" s="2">
        <x:f>IF($I88="","Planned",IF($I88&gt;$H88,"Over",IF($I88&lt;$H88,"Under","On plan")))</x:f>
      </x:c>
      <x:c r="M88" s="2">
        <x:f>IF($I88="","",IF(AND($J88&gt;50000,$K88&gt;0.2),"CRITICAL",""))</x:f>
      </x:c>
      <x:c r="N88" s="2" t="inlineStr">
        <x:is>
          <x:t xml:space="preserve">No</x:t>
        </x:is>
      </x:c>
      <x:c r="O88" s="3" t="inlineStr">
        <x:is>
          <x:t xml:space="preserve">факт не заполнен: ожидается счёт/акт, поэтому пока только план</x:t>
        </x:is>
      </x:c>
    </x:row>
    <x:row r="89">
      <x:c r="A89" s="2" t="n">
        <x:v>88</x:v>
      </x:c>
      <x:c r="B89" s="2" t="inlineStr">
        <x:is>
          <x:t xml:space="preserve">PRJ-301</x:t>
        </x:is>
      </x:c>
      <x:c r="C89" s="2" t="inlineStr">
        <x:is>
          <x:t xml:space="preserve">2025-04</x:t>
        </x:is>
      </x:c>
      <x:c r="D89" s="2" t="inlineStr">
        <x:is>
          <x:t xml:space="preserve">Planned</x:t>
        </x:is>
      </x:c>
      <x:c r="E89" s="3" t="inlineStr">
        <x:is>
          <x:t xml:space="preserve">Тестирование</x:t>
        </x:is>
      </x:c>
      <x:c r="F89" s="3" t="inlineStr">
        <x:is>
          <x:t xml:space="preserve">Тестовые аккаунты/подписки</x:t>
        </x:is>
      </x:c>
      <x:c r="G89" s="2" t="inlineStr">
        <x:is>
          <x:t xml:space="preserve">QA</x:t>
        </x:is>
      </x:c>
      <x:c r="H89" s="4" t="n">
        <x:v>2500</x:v>
      </x:c>
      <x:c r="I89" s="4" t="n"/>
      <x:c r="J89" s="4">
        <x:f>IF($I89="","",$I89-$H89)</x:f>
      </x:c>
      <x:c r="K89" s="5">
        <x:f>IF($I89="","",($I89-$H89)/$H89)</x:f>
      </x:c>
      <x:c r="L89" s="2">
        <x:f>IF($I89="","Planned",IF($I89&gt;$H89,"Over",IF($I89&lt;$H89,"Under","On plan")))</x:f>
      </x:c>
      <x:c r="M89" s="2">
        <x:f>IF($I89="","",IF(AND($J89&gt;50000,$K89&gt;0.2),"CRITICAL",""))</x:f>
      </x:c>
      <x:c r="N89" s="2" t="inlineStr">
        <x:is>
          <x:t xml:space="preserve">No</x:t>
        </x:is>
      </x:c>
      <x:c r="O89" s="3" t="inlineStr">
        <x:is>
          <x:t xml:space="preserve">факт не заполнен: ожидается счёт/акт, поэтому пока только план</x:t>
        </x:is>
      </x:c>
    </x:row>
    <x:row r="90">
      <x:c r="A90" s="2" t="n">
        <x:v>89</x:v>
      </x:c>
      <x:c r="B90" s="2" t="inlineStr">
        <x:is>
          <x:t xml:space="preserve">PRJ-301</x:t>
        </x:is>
      </x:c>
      <x:c r="C90" s="2" t="inlineStr">
        <x:is>
          <x:t xml:space="preserve">2025-04</x:t>
        </x:is>
      </x:c>
      <x:c r="D90" s="2" t="inlineStr">
        <x:is>
          <x:t xml:space="preserve">Planned</x:t>
        </x:is>
      </x:c>
      <x:c r="E90" s="3" t="inlineStr">
        <x:is>
          <x:t xml:space="preserve">Тестирование</x:t>
        </x:is>
      </x:c>
      <x:c r="F90" s="3" t="inlineStr">
        <x:is>
          <x:t xml:space="preserve">Сервис баг-трекинга (доп.)</x:t>
        </x:is>
      </x:c>
      <x:c r="G90" s="2" t="inlineStr">
        <x:is>
          <x:t xml:space="preserve">QA</x:t>
        </x:is>
      </x:c>
      <x:c r="H90" s="4" t="n">
        <x:v>7900</x:v>
      </x:c>
      <x:c r="I90" s="4" t="n"/>
      <x:c r="J90" s="4">
        <x:f>IF($I90="","",$I90-$H90)</x:f>
      </x:c>
      <x:c r="K90" s="5">
        <x:f>IF($I90="","",($I90-$H90)/$H90)</x:f>
      </x:c>
      <x:c r="L90" s="2">
        <x:f>IF($I90="","Planned",IF($I90&gt;$H90,"Over",IF($I90&lt;$H90,"Under","On plan")))</x:f>
      </x:c>
      <x:c r="M90" s="2">
        <x:f>IF($I90="","",IF(AND($J90&gt;50000,$K90&gt;0.2),"CRITICAL",""))</x:f>
      </x:c>
      <x:c r="N90" s="2" t="inlineStr">
        <x:is>
          <x:t xml:space="preserve">No</x:t>
        </x:is>
      </x:c>
      <x:c r="O90" s="3" t="inlineStr">
        <x:is>
          <x:t xml:space="preserve">факт не заполнен: расходы запланированы, но оплат ещё не было</x:t>
        </x:is>
      </x:c>
    </x:row>
    <x:row r="91">
      <x:c r="A91" s="2" t="n">
        <x:v>90</x:v>
      </x:c>
      <x:c r="B91" s="2" t="inlineStr">
        <x:is>
          <x:t xml:space="preserve">PRJ-301</x:t>
        </x:is>
      </x:c>
      <x:c r="C91" s="2" t="inlineStr">
        <x:is>
          <x:t xml:space="preserve">2025-04</x:t>
        </x:is>
      </x:c>
      <x:c r="D91" s="2" t="inlineStr">
        <x:is>
          <x:t xml:space="preserve">Planned</x:t>
        </x:is>
      </x:c>
      <x:c r="E91" s="3" t="inlineStr">
        <x:is>
          <x:t xml:space="preserve">Контент</x:t>
        </x:is>
      </x:c>
      <x:c r="F91" s="3" t="inlineStr">
        <x:is>
          <x:t xml:space="preserve">Запись видео/монтаж</x:t>
        </x:is>
      </x:c>
      <x:c r="G91" s="2" t="inlineStr">
        <x:is>
          <x:t xml:space="preserve">Marketing</x:t>
        </x:is>
      </x:c>
      <x:c r="H91" s="4" t="n">
        <x:v>75700</x:v>
      </x:c>
      <x:c r="I91" s="4" t="n"/>
      <x:c r="J91" s="4">
        <x:f>IF($I91="","",$I91-$H91)</x:f>
      </x:c>
      <x:c r="K91" s="5">
        <x:f>IF($I91="","",($I91-$H91)/$H91)</x:f>
      </x:c>
      <x:c r="L91" s="2">
        <x:f>IF($I91="","Planned",IF($I91&gt;$H91,"Over",IF($I91&lt;$H91,"Under","On plan")))</x:f>
      </x:c>
      <x:c r="M91" s="2">
        <x:f>IF($I91="","",IF(AND($J91&gt;50000,$K91&gt;0.2),"CRITICAL",""))</x:f>
      </x:c>
      <x:c r="N91" s="2" t="inlineStr">
        <x:is>
          <x:t xml:space="preserve">No</x:t>
        </x:is>
      </x:c>
      <x:c r="O91" s="3" t="inlineStr">
        <x:is>
          <x:t xml:space="preserve">факт не заполнен: месяц в плане, ожидаем документы от поставщика</x:t>
        </x:is>
      </x:c>
    </x:row>
    <x:row r="92">
      <x:c r="A92" s="2" t="n">
        <x:v>91</x:v>
      </x:c>
      <x:c r="B92" s="2" t="inlineStr">
        <x:is>
          <x:t xml:space="preserve">PRJ-301</x:t>
        </x:is>
      </x:c>
      <x:c r="C92" s="2" t="inlineStr">
        <x:is>
          <x:t xml:space="preserve">2025-04</x:t>
        </x:is>
      </x:c>
      <x:c r="D92" s="2" t="inlineStr">
        <x:is>
          <x:t xml:space="preserve">Planned</x:t>
        </x:is>
      </x:c>
      <x:c r="E92" s="3" t="inlineStr">
        <x:is>
          <x:t xml:space="preserve">Контент</x:t>
        </x:is>
      </x:c>
      <x:c r="F92" s="3" t="inlineStr">
        <x:is>
          <x:t xml:space="preserve">Озвучка/диктор</x:t>
        </x:is>
      </x:c>
      <x:c r="G92" s="2" t="inlineStr">
        <x:is>
          <x:t xml:space="preserve">Marketing</x:t>
        </x:is>
      </x:c>
      <x:c r="H92" s="4" t="n">
        <x:v>24700</x:v>
      </x:c>
      <x:c r="I92" s="4" t="n"/>
      <x:c r="J92" s="4">
        <x:f>IF($I92="","",$I92-$H92)</x:f>
      </x:c>
      <x:c r="K92" s="5">
        <x:f>IF($I92="","",($I92-$H92)/$H92)</x:f>
      </x:c>
      <x:c r="L92" s="2">
        <x:f>IF($I92="","Planned",IF($I92&gt;$H92,"Over",IF($I92&lt;$H92,"Under","On plan")))</x:f>
      </x:c>
      <x:c r="M92" s="2">
        <x:f>IF($I92="","",IF(AND($J92&gt;50000,$K92&gt;0.2),"CRITICAL",""))</x:f>
      </x:c>
      <x:c r="N92" s="2" t="inlineStr">
        <x:is>
          <x:t xml:space="preserve">No</x:t>
        </x:is>
      </x:c>
      <x:c r="O92" s="3" t="inlineStr">
        <x:is>
          <x:t xml:space="preserve">факт не заполнен: месяц в плане, ожидаем документы от поставщика</x:t>
        </x:is>
      </x:c>
    </x:row>
    <x:row r="93">
      <x:c r="A93" s="2" t="n">
        <x:v>92</x:v>
      </x:c>
      <x:c r="B93" s="2" t="inlineStr">
        <x:is>
          <x:t xml:space="preserve">PRJ-301</x:t>
        </x:is>
      </x:c>
      <x:c r="C93" s="2" t="inlineStr">
        <x:is>
          <x:t xml:space="preserve">2025-04</x:t>
        </x:is>
      </x:c>
      <x:c r="D93" s="2" t="inlineStr">
        <x:is>
          <x:t xml:space="preserve">Planned</x:t>
        </x:is>
      </x:c>
      <x:c r="E93" s="3" t="inlineStr">
        <x:is>
          <x:t xml:space="preserve">Контент</x:t>
        </x:is>
      </x:c>
      <x:c r="F93" s="3" t="inlineStr">
        <x:is>
          <x:t xml:space="preserve">Фотосъёмка/материалы</x:t>
        </x:is>
      </x:c>
      <x:c r="G93" s="2" t="inlineStr">
        <x:is>
          <x:t xml:space="preserve">Marketing</x:t>
        </x:is>
      </x:c>
      <x:c r="H93" s="4" t="n">
        <x:v>15400</x:v>
      </x:c>
      <x:c r="I93" s="4" t="n"/>
      <x:c r="J93" s="4">
        <x:f>IF($I93="","",$I93-$H93)</x:f>
      </x:c>
      <x:c r="K93" s="5">
        <x:f>IF($I93="","",($I93-$H93)/$H93)</x:f>
      </x:c>
      <x:c r="L93" s="2">
        <x:f>IF($I93="","Planned",IF($I93&gt;$H93,"Over",IF($I93&lt;$H93,"Under","On plan")))</x:f>
      </x:c>
      <x:c r="M93" s="2">
        <x:f>IF($I93="","",IF(AND($J93&gt;50000,$K93&gt;0.2),"CRITICAL",""))</x:f>
      </x:c>
      <x:c r="N93" s="2" t="inlineStr">
        <x:is>
          <x:t xml:space="preserve">No</x:t>
        </x:is>
      </x:c>
      <x:c r="O93" s="3" t="inlineStr">
        <x:is>
          <x:t xml:space="preserve">факт не заполнен: ожидается счёт/акт, поэтому пока только план</x:t>
        </x:is>
      </x:c>
    </x:row>
    <x:row r="94">
      <x:c r="A94" s="2" t="n">
        <x:v>93</x:v>
      </x:c>
      <x:c r="B94" s="2" t="inlineStr">
        <x:is>
          <x:t xml:space="preserve">PRJ-301</x:t>
        </x:is>
      </x:c>
      <x:c r="C94" s="2" t="inlineStr">
        <x:is>
          <x:t xml:space="preserve">2025-04</x:t>
        </x:is>
      </x:c>
      <x:c r="D94" s="2" t="inlineStr">
        <x:is>
          <x:t xml:space="preserve">Planned</x:t>
        </x:is>
      </x:c>
      <x:c r="E94" s="3" t="inlineStr">
        <x:is>
          <x:t xml:space="preserve">Интеграции</x:t>
        </x:is>
      </x:c>
      <x:c r="F94" s="3" t="inlineStr">
        <x:is>
          <x:t xml:space="preserve">API-подписки (платные)</x:t>
        </x:is>
      </x:c>
      <x:c r="G94" s="2" t="inlineStr">
        <x:is>
          <x:t xml:space="preserve">Backend</x:t>
        </x:is>
      </x:c>
      <x:c r="H94" s="4" t="n">
        <x:v>30700</x:v>
      </x:c>
      <x:c r="I94" s="4" t="n"/>
      <x:c r="J94" s="4">
        <x:f>IF($I94="","",$I94-$H94)</x:f>
      </x:c>
      <x:c r="K94" s="5">
        <x:f>IF($I94="","",($I94-$H94)/$H94)</x:f>
      </x:c>
      <x:c r="L94" s="2">
        <x:f>IF($I94="","Planned",IF($I94&gt;$H94,"Over",IF($I94&lt;$H94,"Under","On plan")))</x:f>
      </x:c>
      <x:c r="M94" s="2">
        <x:f>IF($I94="","",IF(AND($J94&gt;50000,$K94&gt;0.2),"CRITICAL",""))</x:f>
      </x:c>
      <x:c r="N94" s="2" t="inlineStr">
        <x:is>
          <x:t xml:space="preserve">No</x:t>
        </x:is>
      </x:c>
      <x:c r="O94" s="3" t="inlineStr">
        <x:is>
          <x:t xml:space="preserve">факт не заполнен: счёт ещё не получен, данные появятся после закрытия месяца</x:t>
        </x:is>
      </x:c>
    </x:row>
    <x:row r="95">
      <x:c r="A95" s="2" t="n">
        <x:v>94</x:v>
      </x:c>
      <x:c r="B95" s="2" t="inlineStr">
        <x:is>
          <x:t xml:space="preserve">PRJ-301</x:t>
        </x:is>
      </x:c>
      <x:c r="C95" s="2" t="inlineStr">
        <x:is>
          <x:t xml:space="preserve">2025-04</x:t>
        </x:is>
      </x:c>
      <x:c r="D95" s="2" t="inlineStr">
        <x:is>
          <x:t xml:space="preserve">Planned</x:t>
        </x:is>
      </x:c>
      <x:c r="E95" s="3" t="inlineStr">
        <x:is>
          <x:t xml:space="preserve">Интеграции</x:t>
        </x:is>
      </x:c>
      <x:c r="F95" s="3" t="inlineStr">
        <x:is>
          <x:t xml:space="preserve">SMS/телефония</x:t>
        </x:is>
      </x:c>
      <x:c r="G95" s="2" t="inlineStr">
        <x:is>
          <x:t xml:space="preserve">Backend</x:t>
        </x:is>
      </x:c>
      <x:c r="H95" s="4" t="n">
        <x:v>12500</x:v>
      </x:c>
      <x:c r="I95" s="4" t="n"/>
      <x:c r="J95" s="4">
        <x:f>IF($I95="","",$I95-$H95)</x:f>
      </x:c>
      <x:c r="K95" s="5">
        <x:f>IF($I95="","",($I95-$H95)/$H95)</x:f>
      </x:c>
      <x:c r="L95" s="2">
        <x:f>IF($I95="","Planned",IF($I95&gt;$H95,"Over",IF($I95&lt;$H95,"Under","On plan")))</x:f>
      </x:c>
      <x:c r="M95" s="2">
        <x:f>IF($I95="","",IF(AND($J95&gt;50000,$K95&gt;0.2),"CRITICAL",""))</x:f>
      </x:c>
      <x:c r="N95" s="2" t="inlineStr">
        <x:is>
          <x:t xml:space="preserve">No</x:t>
        </x:is>
      </x:c>
      <x:c r="O95" s="3" t="inlineStr">
        <x:is>
          <x:t xml:space="preserve">факт не заполнен: счёт ещё не получен, данные появятся после закрытия месяца</x:t>
        </x:is>
      </x:c>
    </x:row>
    <x:row r="96">
      <x:c r="A96" s="2" t="n">
        <x:v>95</x:v>
      </x:c>
      <x:c r="B96" s="2" t="inlineStr">
        <x:is>
          <x:t xml:space="preserve">PRJ-301</x:t>
        </x:is>
      </x:c>
      <x:c r="C96" s="2" t="inlineStr">
        <x:is>
          <x:t xml:space="preserve">2025-04</x:t>
        </x:is>
      </x:c>
      <x:c r="D96" s="2" t="inlineStr">
        <x:is>
          <x:t xml:space="preserve">Planned</x:t>
        </x:is>
      </x:c>
      <x:c r="E96" s="3" t="inlineStr">
        <x:is>
          <x:t xml:space="preserve">Облако</x:t>
        </x:is>
      </x:c>
      <x:c r="F96" s="3" t="inlineStr">
        <x:is>
          <x:t xml:space="preserve">Облако: VM (compute)</x:t>
        </x:is>
      </x:c>
      <x:c r="G96" s="2" t="inlineStr">
        <x:is>
          <x:t xml:space="preserve">Team Lead</x:t>
        </x:is>
      </x:c>
      <x:c r="H96" s="4" t="n">
        <x:v>44100</x:v>
      </x:c>
      <x:c r="I96" s="4" t="n"/>
      <x:c r="J96" s="4">
        <x:f>IF($I96="","",$I96-$H96)</x:f>
      </x:c>
      <x:c r="K96" s="5">
        <x:f>IF($I96="","",($I96-$H96)/$H96)</x:f>
      </x:c>
      <x:c r="L96" s="2">
        <x:f>IF($I96="","Planned",IF($I96&gt;$H96,"Over",IF($I96&lt;$H96,"Under","On plan")))</x:f>
      </x:c>
      <x:c r="M96" s="2">
        <x:f>IF($I96="","",IF(AND($J96&gt;50000,$K96&gt;0.2),"CRITICAL",""))</x:f>
      </x:c>
      <x:c r="N96" s="2" t="inlineStr">
        <x:is>
          <x:t xml:space="preserve">No</x:t>
        </x:is>
      </x:c>
      <x:c r="O96" s="3" t="inlineStr">
        <x:is>
          <x:t xml:space="preserve">факт не заполнен: счёт ещё не получен, данные появятся после закрытия месяца</x:t>
        </x:is>
      </x:c>
    </x:row>
    <x:row r="97">
      <x:c r="A97" s="2" t="n">
        <x:v>96</x:v>
      </x:c>
      <x:c r="B97" s="2" t="inlineStr">
        <x:is>
          <x:t xml:space="preserve">PRJ-301</x:t>
        </x:is>
      </x:c>
      <x:c r="C97" s="2" t="inlineStr">
        <x:is>
          <x:t xml:space="preserve">2025-04</x:t>
        </x:is>
      </x:c>
      <x:c r="D97" s="2" t="inlineStr">
        <x:is>
          <x:t xml:space="preserve">Planned</x:t>
        </x:is>
      </x:c>
      <x:c r="E97" s="3" t="inlineStr">
        <x:is>
          <x:t xml:space="preserve">Облако</x:t>
        </x:is>
      </x:c>
      <x:c r="F97" s="3" t="inlineStr">
        <x:is>
          <x:t xml:space="preserve">Облако: Storage (object)</x:t>
        </x:is>
      </x:c>
      <x:c r="G97" s="2" t="inlineStr">
        <x:is>
          <x:t xml:space="preserve">Backend</x:t>
        </x:is>
      </x:c>
      <x:c r="H97" s="4" t="n">
        <x:v>24000</x:v>
      </x:c>
      <x:c r="I97" s="4" t="n"/>
      <x:c r="J97" s="4">
        <x:f>IF($I97="","",$I97-$H97)</x:f>
      </x:c>
      <x:c r="K97" s="5">
        <x:f>IF($I97="","",($I97-$H97)/$H97)</x:f>
      </x:c>
      <x:c r="L97" s="2">
        <x:f>IF($I97="","Planned",IF($I97&gt;$H97,"Over",IF($I97&lt;$H97,"Under","On plan")))</x:f>
      </x:c>
      <x:c r="M97" s="2">
        <x:f>IF($I97="","",IF(AND($J97&gt;50000,$K97&gt;0.2),"CRITICAL",""))</x:f>
      </x:c>
      <x:c r="N97" s="2" t="inlineStr">
        <x:is>
          <x:t xml:space="preserve">No</x:t>
        </x:is>
      </x:c>
      <x:c r="O97" s="3" t="inlineStr">
        <x:is>
          <x:t xml:space="preserve">факт не заполнен: месяц в плане, ожидаем документы от поставщика</x:t>
        </x:is>
      </x:c>
    </x:row>
    <x:row r="98">
      <x:c r="A98" s="2" t="n">
        <x:v>97</x:v>
      </x:c>
      <x:c r="B98" s="2" t="inlineStr">
        <x:is>
          <x:t xml:space="preserve">PRJ-301</x:t>
        </x:is>
      </x:c>
      <x:c r="C98" s="2" t="inlineStr">
        <x:is>
          <x:t xml:space="preserve">2025-04</x:t>
        </x:is>
      </x:c>
      <x:c r="D98" s="2" t="inlineStr">
        <x:is>
          <x:t xml:space="preserve">Planned</x:t>
        </x:is>
      </x:c>
      <x:c r="E98" s="3" t="inlineStr">
        <x:is>
          <x:t xml:space="preserve">Облако</x:t>
        </x:is>
      </x:c>
      <x:c r="F98" s="3" t="inlineStr">
        <x:is>
          <x:t xml:space="preserve">Облако: DB managed</x:t>
        </x:is>
      </x:c>
      <x:c r="G98" s="2" t="inlineStr">
        <x:is>
          <x:t xml:space="preserve">Backend</x:t>
        </x:is>
      </x:c>
      <x:c r="H98" s="4" t="n">
        <x:v>20900</x:v>
      </x:c>
      <x:c r="I98" s="4" t="n"/>
      <x:c r="J98" s="4">
        <x:f>IF($I98="","",$I98-$H98)</x:f>
      </x:c>
      <x:c r="K98" s="5">
        <x:f>IF($I98="","",($I98-$H98)/$H98)</x:f>
      </x:c>
      <x:c r="L98" s="2">
        <x:f>IF($I98="","Planned",IF($I98&gt;$H98,"Over",IF($I98&lt;$H98,"Under","On plan")))</x:f>
      </x:c>
      <x:c r="M98" s="2">
        <x:f>IF($I98="","",IF(AND($J98&gt;50000,$K98&gt;0.2),"CRITICAL",""))</x:f>
      </x:c>
      <x:c r="N98" s="2" t="inlineStr">
        <x:is>
          <x:t xml:space="preserve">No</x:t>
        </x:is>
      </x:c>
      <x:c r="O98" s="3" t="inlineStr">
        <x:is>
          <x:t xml:space="preserve">факт не заполнен: месяц в плане, ожидаем документы от поставщика</x:t>
        </x:is>
      </x:c>
    </x:row>
    <x:row r="99">
      <x:c r="A99" s="2" t="n">
        <x:v>98</x:v>
      </x:c>
      <x:c r="B99" s="2" t="inlineStr">
        <x:is>
          <x:t xml:space="preserve">PRJ-301</x:t>
        </x:is>
      </x:c>
      <x:c r="C99" s="2" t="inlineStr">
        <x:is>
          <x:t xml:space="preserve">2025-04</x:t>
        </x:is>
      </x:c>
      <x:c r="D99" s="2" t="inlineStr">
        <x:is>
          <x:t xml:space="preserve">Planned</x:t>
        </x:is>
      </x:c>
      <x:c r="E99" s="3" t="inlineStr">
        <x:is>
          <x:t xml:space="preserve">Облако</x:t>
        </x:is>
      </x:c>
      <x:c r="F99" s="3" t="inlineStr">
        <x:is>
          <x:t xml:space="preserve">Облако: CDN/Traffic</x:t>
        </x:is>
      </x:c>
      <x:c r="G99" s="2" t="inlineStr">
        <x:is>
          <x:t xml:space="preserve">DevOps</x:t>
        </x:is>
      </x:c>
      <x:c r="H99" s="4" t="n">
        <x:v>19400</x:v>
      </x:c>
      <x:c r="I99" s="4" t="n"/>
      <x:c r="J99" s="4">
        <x:f>IF($I99="","",$I99-$H99)</x:f>
      </x:c>
      <x:c r="K99" s="5">
        <x:f>IF($I99="","",($I99-$H99)/$H99)</x:f>
      </x:c>
      <x:c r="L99" s="2">
        <x:f>IF($I99="","Planned",IF($I99&gt;$H99,"Over",IF($I99&lt;$H99,"Under","On plan")))</x:f>
      </x:c>
      <x:c r="M99" s="2">
        <x:f>IF($I99="","",IF(AND($J99&gt;50000,$K99&gt;0.2),"CRITICAL",""))</x:f>
      </x:c>
      <x:c r="N99" s="2" t="inlineStr">
        <x:is>
          <x:t xml:space="preserve">No</x:t>
        </x:is>
      </x:c>
      <x:c r="O99" s="3" t="inlineStr">
        <x:is>
          <x:t xml:space="preserve">факт не заполнен: ожидается счёт/акт, поэтому пока только план</x:t>
        </x:is>
      </x:c>
    </x:row>
    <x:row r="100">
      <x:c r="A100" s="2" t="n">
        <x:v>99</x:v>
      </x:c>
      <x:c r="B100" s="2" t="inlineStr">
        <x:is>
          <x:t xml:space="preserve">PRJ-301</x:t>
        </x:is>
      </x:c>
      <x:c r="C100" s="2" t="inlineStr">
        <x:is>
          <x:t xml:space="preserve">2025-04</x:t>
        </x:is>
      </x:c>
      <x:c r="D100" s="2" t="inlineStr">
        <x:is>
          <x:t xml:space="preserve">Planned</x:t>
        </x:is>
      </x:c>
      <x:c r="E100" s="3" t="inlineStr">
        <x:is>
          <x:t xml:space="preserve">Инфраструктура</x:t>
        </x:is>
      </x:c>
      <x:c r="F100" s="3" t="inlineStr">
        <x:is>
          <x:t xml:space="preserve">CI/CD runners</x:t>
        </x:is>
      </x:c>
      <x:c r="G100" s="2" t="inlineStr">
        <x:is>
          <x:t xml:space="preserve">DevOps</x:t>
        </x:is>
      </x:c>
      <x:c r="H100" s="4" t="n">
        <x:v>16900</x:v>
      </x:c>
      <x:c r="I100" s="4" t="n"/>
      <x:c r="J100" s="4">
        <x:f>IF($I100="","",$I100-$H100)</x:f>
      </x:c>
      <x:c r="K100" s="5">
        <x:f>IF($I100="","",($I100-$H100)/$H100)</x:f>
      </x:c>
      <x:c r="L100" s="2">
        <x:f>IF($I100="","Planned",IF($I100&gt;$H100,"Over",IF($I100&lt;$H100,"Under","On plan")))</x:f>
      </x:c>
      <x:c r="M100" s="2">
        <x:f>IF($I100="","",IF(AND($J100&gt;50000,$K100&gt;0.2),"CRITICAL",""))</x:f>
      </x:c>
      <x:c r="N100" s="2" t="inlineStr">
        <x:is>
          <x:t xml:space="preserve">No</x:t>
        </x:is>
      </x:c>
      <x:c r="O100" s="3" t="inlineStr">
        <x:is>
          <x:t xml:space="preserve">факт не заполнен: счёт ещё не получен, данные появятся после закрытия месяца</x:t>
        </x:is>
      </x:c>
    </x:row>
    <x:row r="101">
      <x:c r="A101" s="2" t="n">
        <x:v>100</x:v>
      </x:c>
      <x:c r="B101" s="2" t="inlineStr">
        <x:is>
          <x:t xml:space="preserve">PRJ-301</x:t>
        </x:is>
      </x:c>
      <x:c r="C101" s="2" t="inlineStr">
        <x:is>
          <x:t xml:space="preserve">2025-04</x:t>
        </x:is>
      </x:c>
      <x:c r="D101" s="2" t="inlineStr">
        <x:is>
          <x:t xml:space="preserve">Planned</x:t>
        </x:is>
      </x:c>
      <x:c r="E101" s="3" t="inlineStr">
        <x:is>
          <x:t xml:space="preserve">Инфраструктура</x:t>
        </x:is>
      </x:c>
      <x:c r="F101" s="3" t="inlineStr">
        <x:is>
          <x:t xml:space="preserve">Мониторинг/логирование</x:t>
        </x:is>
      </x:c>
      <x:c r="G101" s="2" t="inlineStr">
        <x:is>
          <x:t xml:space="preserve">DevOps</x:t>
        </x:is>
      </x:c>
      <x:c r="H101" s="4" t="n">
        <x:v>6200</x:v>
      </x:c>
      <x:c r="I101" s="4" t="n"/>
      <x:c r="J101" s="4">
        <x:f>IF($I101="","",$I101-$H101)</x:f>
      </x:c>
      <x:c r="K101" s="5">
        <x:f>IF($I101="","",($I101-$H101)/$H101)</x:f>
      </x:c>
      <x:c r="L101" s="2">
        <x:f>IF($I101="","Planned",IF($I101&gt;$H101,"Over",IF($I101&lt;$H101,"Under","On plan")))</x:f>
      </x:c>
      <x:c r="M101" s="2">
        <x:f>IF($I101="","",IF(AND($J101&gt;50000,$K101&gt;0.2),"CRITICAL",""))</x:f>
      </x:c>
      <x:c r="N101" s="2" t="inlineStr">
        <x:is>
          <x:t xml:space="preserve">No</x:t>
        </x:is>
      </x:c>
      <x:c r="O101" s="3" t="inlineStr">
        <x:is>
          <x:t xml:space="preserve">факт не заполнен: ожидается счёт/акт, поэтому пока только план</x:t>
        </x:is>
      </x:c>
    </x:row>
    <x:row r="102">
      <x:c r="A102" s="2" t="n">
        <x:v>101</x:v>
      </x:c>
      <x:c r="B102" s="2" t="inlineStr">
        <x:is>
          <x:t xml:space="preserve">PRJ-301</x:t>
        </x:is>
      </x:c>
      <x:c r="C102" s="2" t="inlineStr">
        <x:is>
          <x:t xml:space="preserve">2025-05</x:t>
        </x:is>
      </x:c>
      <x:c r="D102" s="2" t="inlineStr">
        <x:is>
          <x:t xml:space="preserve">Planned</x:t>
        </x:is>
      </x:c>
      <x:c r="E102" s="3" t="inlineStr">
        <x:is>
          <x:t xml:space="preserve">Операционные</x:t>
        </x:is>
      </x:c>
      <x:c r="F102" s="3" t="inlineStr">
        <x:is>
          <x:t xml:space="preserve">Печать/полиграфия</x:t>
        </x:is>
      </x:c>
      <x:c r="G102" s="2" t="inlineStr">
        <x:is>
          <x:t xml:space="preserve">Marketing</x:t>
        </x:is>
      </x:c>
      <x:c r="H102" s="4" t="n">
        <x:v>1800</x:v>
      </x:c>
      <x:c r="I102" s="4" t="n"/>
      <x:c r="J102" s="4">
        <x:f>IF($I102="","",$I102-$H102)</x:f>
      </x:c>
      <x:c r="K102" s="5">
        <x:f>IF($I102="","",($I102-$H102)/$H102)</x:f>
      </x:c>
      <x:c r="L102" s="2">
        <x:f>IF($I102="","Planned",IF($I102&gt;$H102,"Over",IF($I102&lt;$H102,"Under","On plan")))</x:f>
      </x:c>
      <x:c r="M102" s="2">
        <x:f>IF($I102="","",IF(AND($J102&gt;50000,$K102&gt;0.2),"CRITICAL",""))</x:f>
      </x:c>
      <x:c r="N102" s="2" t="inlineStr">
        <x:is>
          <x:t xml:space="preserve">No</x:t>
        </x:is>
      </x:c>
      <x:c r="O102" s="3" t="inlineStr">
        <x:is>
          <x:t xml:space="preserve">факт не заполнен: ожидается счёт/акт, поэтому пока только план</x:t>
        </x:is>
      </x:c>
    </x:row>
    <x:row r="103">
      <x:c r="A103" s="2" t="n">
        <x:v>102</x:v>
      </x:c>
      <x:c r="B103" s="2" t="inlineStr">
        <x:is>
          <x:t xml:space="preserve">PRJ-301</x:t>
        </x:is>
      </x:c>
      <x:c r="C103" s="2" t="inlineStr">
        <x:is>
          <x:t xml:space="preserve">2025-05</x:t>
        </x:is>
      </x:c>
      <x:c r="D103" s="2" t="inlineStr">
        <x:is>
          <x:t xml:space="preserve">Planned</x:t>
        </x:is>
      </x:c>
      <x:c r="E103" s="3" t="inlineStr">
        <x:is>
          <x:t xml:space="preserve">Операционные</x:t>
        </x:is>
      </x:c>
      <x:c r="F103" s="3" t="inlineStr">
        <x:is>
          <x:t xml:space="preserve">Сервисы обратной связи (опросы)</x:t>
        </x:is>
      </x:c>
      <x:c r="G103" s="2" t="inlineStr">
        <x:is>
          <x:t xml:space="preserve">Analyst</x:t>
        </x:is>
      </x:c>
      <x:c r="H103" s="4" t="n">
        <x:v>3300</x:v>
      </x:c>
      <x:c r="I103" s="4" t="n"/>
      <x:c r="J103" s="4">
        <x:f>IF($I103="","",$I103-$H103)</x:f>
      </x:c>
      <x:c r="K103" s="5">
        <x:f>IF($I103="","",($I103-$H103)/$H103)</x:f>
      </x:c>
      <x:c r="L103" s="2">
        <x:f>IF($I103="","Planned",IF($I103&gt;$H103,"Over",IF($I103&lt;$H103,"Under","On plan")))</x:f>
      </x:c>
      <x:c r="M103" s="2">
        <x:f>IF($I103="","",IF(AND($J103&gt;50000,$K103&gt;0.2),"CRITICAL",""))</x:f>
      </x:c>
      <x:c r="N103" s="2" t="inlineStr">
        <x:is>
          <x:t xml:space="preserve">No</x:t>
        </x:is>
      </x:c>
      <x:c r="O103" s="3" t="inlineStr">
        <x:is>
          <x:t xml:space="preserve">факт не заполнен: ожидается счёт/акт, поэтому пока только план</x:t>
        </x:is>
      </x:c>
    </x:row>
    <x:row r="104">
      <x:c r="A104" s="2" t="n">
        <x:v>103</x:v>
      </x:c>
      <x:c r="B104" s="2" t="inlineStr">
        <x:is>
          <x:t xml:space="preserve">PRJ-301</x:t>
        </x:is>
      </x:c>
      <x:c r="C104" s="2" t="inlineStr">
        <x:is>
          <x:t xml:space="preserve">2025-05</x:t>
        </x:is>
      </x:c>
      <x:c r="D104" s="2" t="inlineStr">
        <x:is>
          <x:t xml:space="preserve">Planned</x:t>
        </x:is>
      </x:c>
      <x:c r="E104" s="3" t="inlineStr">
        <x:is>
          <x:t xml:space="preserve">Операционные</x:t>
        </x:is>
      </x:c>
      <x:c r="F104" s="3" t="inlineStr">
        <x:is>
          <x:t xml:space="preserve">Платежи/комиссии</x:t>
        </x:is>
      </x:c>
      <x:c r="G104" s="2" t="inlineStr">
        <x:is>
          <x:t xml:space="preserve">Admin</x:t>
        </x:is>
      </x:c>
      <x:c r="H104" s="4" t="n">
        <x:v>600</x:v>
      </x:c>
      <x:c r="I104" s="4" t="n"/>
      <x:c r="J104" s="4">
        <x:f>IF($I104="","",$I104-$H104)</x:f>
      </x:c>
      <x:c r="K104" s="5">
        <x:f>IF($I104="","",($I104-$H104)/$H104)</x:f>
      </x:c>
      <x:c r="L104" s="2">
        <x:f>IF($I104="","Planned",IF($I104&gt;$H104,"Over",IF($I104&lt;$H104,"Under","On plan")))</x:f>
      </x:c>
      <x:c r="M104" s="2">
        <x:f>IF($I104="","",IF(AND($J104&gt;50000,$K104&gt;0.2),"CRITICAL",""))</x:f>
      </x:c>
      <x:c r="N104" s="2" t="inlineStr">
        <x:is>
          <x:t xml:space="preserve">No</x:t>
        </x:is>
      </x:c>
      <x:c r="O104" s="3" t="inlineStr">
        <x:is>
          <x:t xml:space="preserve">факт не заполнен: расходы запланированы, но оплат ещё не было</x:t>
        </x:is>
      </x:c>
    </x:row>
    <x:row r="105">
      <x:c r="A105" s="2" t="n">
        <x:v>104</x:v>
      </x:c>
      <x:c r="B105" s="2" t="inlineStr">
        <x:is>
          <x:t xml:space="preserve">PRJ-301</x:t>
        </x:is>
      </x:c>
      <x:c r="C105" s="2" t="inlineStr">
        <x:is>
          <x:t xml:space="preserve">2025-05</x:t>
        </x:is>
      </x:c>
      <x:c r="D105" s="2" t="inlineStr">
        <x:is>
          <x:t xml:space="preserve">Planned</x:t>
        </x:is>
      </x:c>
      <x:c r="E105" s="3" t="inlineStr">
        <x:is>
          <x:t xml:space="preserve">Безопасность</x:t>
        </x:is>
      </x:c>
      <x:c r="F105" s="3" t="inlineStr">
        <x:is>
          <x:t xml:space="preserve">Пентест/аудит</x:t>
        </x:is>
      </x:c>
      <x:c r="G105" s="2" t="inlineStr">
        <x:is>
          <x:t xml:space="preserve">DevOps</x:t>
        </x:is>
      </x:c>
      <x:c r="H105" s="4" t="n">
        <x:v>32300</x:v>
      </x:c>
      <x:c r="I105" s="4" t="n"/>
      <x:c r="J105" s="4">
        <x:f>IF($I105="","",$I105-$H105)</x:f>
      </x:c>
      <x:c r="K105" s="5">
        <x:f>IF($I105="","",($I105-$H105)/$H105)</x:f>
      </x:c>
      <x:c r="L105" s="2">
        <x:f>IF($I105="","Planned",IF($I105&gt;$H105,"Over",IF($I105&lt;$H105,"Under","On plan")))</x:f>
      </x:c>
      <x:c r="M105" s="2">
        <x:f>IF($I105="","",IF(AND($J105&gt;50000,$K105&gt;0.2),"CRITICAL",""))</x:f>
      </x:c>
      <x:c r="N105" s="2" t="inlineStr">
        <x:is>
          <x:t xml:space="preserve">No</x:t>
        </x:is>
      </x:c>
      <x:c r="O105" s="3" t="inlineStr">
        <x:is>
          <x:t xml:space="preserve">факт не заполнен: счёт ещё не получен, данные появятся после закрытия месяца</x:t>
        </x:is>
      </x:c>
    </x:row>
    <x:row r="106">
      <x:c r="A106" s="2" t="n">
        <x:v>105</x:v>
      </x:c>
      <x:c r="B106" s="2" t="inlineStr">
        <x:is>
          <x:t xml:space="preserve">PRJ-301</x:t>
        </x:is>
      </x:c>
      <x:c r="C106" s="2" t="inlineStr">
        <x:is>
          <x:t xml:space="preserve">2025-05</x:t>
        </x:is>
      </x:c>
      <x:c r="D106" s="2" t="inlineStr">
        <x:is>
          <x:t xml:space="preserve">Planned</x:t>
        </x:is>
      </x:c>
      <x:c r="E106" s="3" t="inlineStr">
        <x:is>
          <x:t xml:space="preserve">Безопасность</x:t>
        </x:is>
      </x:c>
      <x:c r="F106" s="3" t="inlineStr">
        <x:is>
          <x:t xml:space="preserve">Сканер уязвимостей</x:t>
        </x:is>
      </x:c>
      <x:c r="G106" s="2" t="inlineStr">
        <x:is>
          <x:t xml:space="preserve">DevOps</x:t>
        </x:is>
      </x:c>
      <x:c r="H106" s="4" t="n">
        <x:v>28900</x:v>
      </x:c>
      <x:c r="I106" s="4" t="n"/>
      <x:c r="J106" s="4">
        <x:f>IF($I106="","",$I106-$H106)</x:f>
      </x:c>
      <x:c r="K106" s="5">
        <x:f>IF($I106="","",($I106-$H106)/$H106)</x:f>
      </x:c>
      <x:c r="L106" s="2">
        <x:f>IF($I106="","Planned",IF($I106&gt;$H106,"Over",IF($I106&lt;$H106,"Under","On plan")))</x:f>
      </x:c>
      <x:c r="M106" s="2">
        <x:f>IF($I106="","",IF(AND($J106&gt;50000,$K106&gt;0.2),"CRITICAL",""))</x:f>
      </x:c>
      <x:c r="N106" s="2" t="inlineStr">
        <x:is>
          <x:t xml:space="preserve">No</x:t>
        </x:is>
      </x:c>
      <x:c r="O106" s="3" t="inlineStr">
        <x:is>
          <x:t xml:space="preserve">факт не заполнен: счёт ещё не получен, данные появятся после закрытия месяца</x:t>
        </x:is>
      </x:c>
    </x:row>
    <x:row r="107">
      <x:c r="A107" s="2" t="n">
        <x:v>106</x:v>
      </x:c>
      <x:c r="B107" s="2" t="inlineStr">
        <x:is>
          <x:t xml:space="preserve">PRJ-301</x:t>
        </x:is>
      </x:c>
      <x:c r="C107" s="2" t="inlineStr">
        <x:is>
          <x:t xml:space="preserve">2025-05</x:t>
        </x:is>
      </x:c>
      <x:c r="D107" s="2" t="inlineStr">
        <x:is>
          <x:t xml:space="preserve">Planned</x:t>
        </x:is>
      </x:c>
      <x:c r="E107" s="3" t="inlineStr">
        <x:is>
          <x:t xml:space="preserve">Тестирование</x:t>
        </x:is>
      </x:c>
      <x:c r="F107" s="3" t="inlineStr">
        <x:is>
          <x:t xml:space="preserve">Тестовые аккаунты/подписки</x:t>
        </x:is>
      </x:c>
      <x:c r="G107" s="2" t="inlineStr">
        <x:is>
          <x:t xml:space="preserve">QA</x:t>
        </x:is>
      </x:c>
      <x:c r="H107" s="4" t="n">
        <x:v>3300</x:v>
      </x:c>
      <x:c r="I107" s="4" t="n"/>
      <x:c r="J107" s="4">
        <x:f>IF($I107="","",$I107-$H107)</x:f>
      </x:c>
      <x:c r="K107" s="5">
        <x:f>IF($I107="","",($I107-$H107)/$H107)</x:f>
      </x:c>
      <x:c r="L107" s="2">
        <x:f>IF($I107="","Planned",IF($I107&gt;$H107,"Over",IF($I107&lt;$H107,"Under","On plan")))</x:f>
      </x:c>
      <x:c r="M107" s="2">
        <x:f>IF($I107="","",IF(AND($J107&gt;50000,$K107&gt;0.2),"CRITICAL",""))</x:f>
      </x:c>
      <x:c r="N107" s="2" t="inlineStr">
        <x:is>
          <x:t xml:space="preserve">No</x:t>
        </x:is>
      </x:c>
      <x:c r="O107" s="3" t="inlineStr">
        <x:is>
          <x:t xml:space="preserve">факт не заполнен: расходы запланированы, но оплат ещё не было</x:t>
        </x:is>
      </x:c>
    </x:row>
    <x:row r="108">
      <x:c r="A108" s="2" t="n">
        <x:v>107</x:v>
      </x:c>
      <x:c r="B108" s="2" t="inlineStr">
        <x:is>
          <x:t xml:space="preserve">PRJ-301</x:t>
        </x:is>
      </x:c>
      <x:c r="C108" s="2" t="inlineStr">
        <x:is>
          <x:t xml:space="preserve">2025-05</x:t>
        </x:is>
      </x:c>
      <x:c r="D108" s="2" t="inlineStr">
        <x:is>
          <x:t xml:space="preserve">Planned</x:t>
        </x:is>
      </x:c>
      <x:c r="E108" s="3" t="inlineStr">
        <x:is>
          <x:t xml:space="preserve">Тестирование</x:t>
        </x:is>
      </x:c>
      <x:c r="F108" s="3" t="inlineStr">
        <x:is>
          <x:t xml:space="preserve">Сервис баг-трекинга (доп.)</x:t>
        </x:is>
      </x:c>
      <x:c r="G108" s="2" t="inlineStr">
        <x:is>
          <x:t xml:space="preserve">QA</x:t>
        </x:is>
      </x:c>
      <x:c r="H108" s="4" t="n">
        <x:v>5200</x:v>
      </x:c>
      <x:c r="I108" s="4" t="n"/>
      <x:c r="J108" s="4">
        <x:f>IF($I108="","",$I108-$H108)</x:f>
      </x:c>
      <x:c r="K108" s="5">
        <x:f>IF($I108="","",($I108-$H108)/$H108)</x:f>
      </x:c>
      <x:c r="L108" s="2">
        <x:f>IF($I108="","Planned",IF($I108&gt;$H108,"Over",IF($I108&lt;$H108,"Under","On plan")))</x:f>
      </x:c>
      <x:c r="M108" s="2">
        <x:f>IF($I108="","",IF(AND($J108&gt;50000,$K108&gt;0.2),"CRITICAL",""))</x:f>
      </x:c>
      <x:c r="N108" s="2" t="inlineStr">
        <x:is>
          <x:t xml:space="preserve">No</x:t>
        </x:is>
      </x:c>
      <x:c r="O108" s="3" t="inlineStr">
        <x:is>
          <x:t xml:space="preserve">факт не заполнен: расходы запланированы, но оплат ещё не было</x:t>
        </x:is>
      </x:c>
    </x:row>
    <x:row r="109">
      <x:c r="A109" s="2" t="n">
        <x:v>108</x:v>
      </x:c>
      <x:c r="B109" s="2" t="inlineStr">
        <x:is>
          <x:t xml:space="preserve">PRJ-301</x:t>
        </x:is>
      </x:c>
      <x:c r="C109" s="2" t="inlineStr">
        <x:is>
          <x:t xml:space="preserve">2025-05</x:t>
        </x:is>
      </x:c>
      <x:c r="D109" s="2" t="inlineStr">
        <x:is>
          <x:t xml:space="preserve">Planned</x:t>
        </x:is>
      </x:c>
      <x:c r="E109" s="3" t="inlineStr">
        <x:is>
          <x:t xml:space="preserve">Контент</x:t>
        </x:is>
      </x:c>
      <x:c r="F109" s="3" t="inlineStr">
        <x:is>
          <x:t xml:space="preserve">Запись видео/монтаж</x:t>
        </x:is>
      </x:c>
      <x:c r="G109" s="2" t="inlineStr">
        <x:is>
          <x:t xml:space="preserve">Marketing</x:t>
        </x:is>
      </x:c>
      <x:c r="H109" s="4" t="n">
        <x:v>68800</x:v>
      </x:c>
      <x:c r="I109" s="4" t="n"/>
      <x:c r="J109" s="4">
        <x:f>IF($I109="","",$I109-$H109)</x:f>
      </x:c>
      <x:c r="K109" s="5">
        <x:f>IF($I109="","",($I109-$H109)/$H109)</x:f>
      </x:c>
      <x:c r="L109" s="2">
        <x:f>IF($I109="","Planned",IF($I109&gt;$H109,"Over",IF($I109&lt;$H109,"Under","On plan")))</x:f>
      </x:c>
      <x:c r="M109" s="2">
        <x:f>IF($I109="","",IF(AND($J109&gt;50000,$K109&gt;0.2),"CRITICAL",""))</x:f>
      </x:c>
      <x:c r="N109" s="2" t="inlineStr">
        <x:is>
          <x:t xml:space="preserve">No</x:t>
        </x:is>
      </x:c>
      <x:c r="O109" s="3" t="inlineStr">
        <x:is>
          <x:t xml:space="preserve">факт не заполнен: счёт ещё не получен, данные появятся после закрытия месяца</x:t>
        </x:is>
      </x:c>
    </x:row>
    <x:row r="110">
      <x:c r="A110" s="2" t="n">
        <x:v>109</x:v>
      </x:c>
      <x:c r="B110" s="2" t="inlineStr">
        <x:is>
          <x:t xml:space="preserve">PRJ-301</x:t>
        </x:is>
      </x:c>
      <x:c r="C110" s="2" t="inlineStr">
        <x:is>
          <x:t xml:space="preserve">2025-05</x:t>
        </x:is>
      </x:c>
      <x:c r="D110" s="2" t="inlineStr">
        <x:is>
          <x:t xml:space="preserve">Planned</x:t>
        </x:is>
      </x:c>
      <x:c r="E110" s="3" t="inlineStr">
        <x:is>
          <x:t xml:space="preserve">Контент</x:t>
        </x:is>
      </x:c>
      <x:c r="F110" s="3" t="inlineStr">
        <x:is>
          <x:t xml:space="preserve">Озвучка/диктор</x:t>
        </x:is>
      </x:c>
      <x:c r="G110" s="2" t="inlineStr">
        <x:is>
          <x:t xml:space="preserve">Marketing</x:t>
        </x:is>
      </x:c>
      <x:c r="H110" s="4" t="n">
        <x:v>4800</x:v>
      </x:c>
      <x:c r="I110" s="4" t="n"/>
      <x:c r="J110" s="4">
        <x:f>IF($I110="","",$I110-$H110)</x:f>
      </x:c>
      <x:c r="K110" s="5">
        <x:f>IF($I110="","",($I110-$H110)/$H110)</x:f>
      </x:c>
      <x:c r="L110" s="2">
        <x:f>IF($I110="","Planned",IF($I110&gt;$H110,"Over",IF($I110&lt;$H110,"Under","On plan")))</x:f>
      </x:c>
      <x:c r="M110" s="2">
        <x:f>IF($I110="","",IF(AND($J110&gt;50000,$K110&gt;0.2),"CRITICAL",""))</x:f>
      </x:c>
      <x:c r="N110" s="2" t="inlineStr">
        <x:is>
          <x:t xml:space="preserve">No</x:t>
        </x:is>
      </x:c>
      <x:c r="O110" s="3" t="inlineStr">
        <x:is>
          <x:t xml:space="preserve">факт не заполнен: расходы запланированы, но оплат ещё не было</x:t>
        </x:is>
      </x:c>
    </x:row>
    <x:row r="111">
      <x:c r="A111" s="2" t="n">
        <x:v>110</x:v>
      </x:c>
      <x:c r="B111" s="2" t="inlineStr">
        <x:is>
          <x:t xml:space="preserve">PRJ-301</x:t>
        </x:is>
      </x:c>
      <x:c r="C111" s="2" t="inlineStr">
        <x:is>
          <x:t xml:space="preserve">2025-05</x:t>
        </x:is>
      </x:c>
      <x:c r="D111" s="2" t="inlineStr">
        <x:is>
          <x:t xml:space="preserve">Planned</x:t>
        </x:is>
      </x:c>
      <x:c r="E111" s="3" t="inlineStr">
        <x:is>
          <x:t xml:space="preserve">Контент</x:t>
        </x:is>
      </x:c>
      <x:c r="F111" s="3" t="inlineStr">
        <x:is>
          <x:t xml:space="preserve">Фотосъёмка/материалы</x:t>
        </x:is>
      </x:c>
      <x:c r="G111" s="2" t="inlineStr">
        <x:is>
          <x:t xml:space="preserve">Marketing</x:t>
        </x:is>
      </x:c>
      <x:c r="H111" s="4" t="n">
        <x:v>29100</x:v>
      </x:c>
      <x:c r="I111" s="4" t="n"/>
      <x:c r="J111" s="4">
        <x:f>IF($I111="","",$I111-$H111)</x:f>
      </x:c>
      <x:c r="K111" s="5">
        <x:f>IF($I111="","",($I111-$H111)/$H111)</x:f>
      </x:c>
      <x:c r="L111" s="2">
        <x:f>IF($I111="","Planned",IF($I111&gt;$H111,"Over",IF($I111&lt;$H111,"Under","On plan")))</x:f>
      </x:c>
      <x:c r="M111" s="2">
        <x:f>IF($I111="","",IF(AND($J111&gt;50000,$K111&gt;0.2),"CRITICAL",""))</x:f>
      </x:c>
      <x:c r="N111" s="2" t="inlineStr">
        <x:is>
          <x:t xml:space="preserve">No</x:t>
        </x:is>
      </x:c>
      <x:c r="O111" s="3" t="inlineStr">
        <x:is>
          <x:t xml:space="preserve">факт не заполнен: ожидается счёт/акт, поэтому пока только план</x:t>
        </x:is>
      </x:c>
    </x:row>
    <x:row r="112">
      <x:c r="A112" s="2" t="n">
        <x:v>111</x:v>
      </x:c>
      <x:c r="B112" s="2" t="inlineStr">
        <x:is>
          <x:t xml:space="preserve">PRJ-301</x:t>
        </x:is>
      </x:c>
      <x:c r="C112" s="2" t="inlineStr">
        <x:is>
          <x:t xml:space="preserve">2025-05</x:t>
        </x:is>
      </x:c>
      <x:c r="D112" s="2" t="inlineStr">
        <x:is>
          <x:t xml:space="preserve">Planned</x:t>
        </x:is>
      </x:c>
      <x:c r="E112" s="3" t="inlineStr">
        <x:is>
          <x:t xml:space="preserve">Интеграции</x:t>
        </x:is>
      </x:c>
      <x:c r="F112" s="3" t="inlineStr">
        <x:is>
          <x:t xml:space="preserve">API-подписки (платные)</x:t>
        </x:is>
      </x:c>
      <x:c r="G112" s="2" t="inlineStr">
        <x:is>
          <x:t xml:space="preserve">Backend</x:t>
        </x:is>
      </x:c>
      <x:c r="H112" s="4" t="n">
        <x:v>16300</x:v>
      </x:c>
      <x:c r="I112" s="4" t="n"/>
      <x:c r="J112" s="4">
        <x:f>IF($I112="","",$I112-$H112)</x:f>
      </x:c>
      <x:c r="K112" s="5">
        <x:f>IF($I112="","",($I112-$H112)/$H112)</x:f>
      </x:c>
      <x:c r="L112" s="2">
        <x:f>IF($I112="","Planned",IF($I112&gt;$H112,"Over",IF($I112&lt;$H112,"Under","On plan")))</x:f>
      </x:c>
      <x:c r="M112" s="2">
        <x:f>IF($I112="","",IF(AND($J112&gt;50000,$K112&gt;0.2),"CRITICAL",""))</x:f>
      </x:c>
      <x:c r="N112" s="2" t="inlineStr">
        <x:is>
          <x:t xml:space="preserve">No</x:t>
        </x:is>
      </x:c>
      <x:c r="O112" s="3" t="inlineStr">
        <x:is>
          <x:t xml:space="preserve">факт не заполнен: месяц в плане, ожидаем документы от поставщика</x:t>
        </x:is>
      </x:c>
    </x:row>
    <x:row r="113">
      <x:c r="A113" s="2" t="n">
        <x:v>112</x:v>
      </x:c>
      <x:c r="B113" s="2" t="inlineStr">
        <x:is>
          <x:t xml:space="preserve">PRJ-301</x:t>
        </x:is>
      </x:c>
      <x:c r="C113" s="2" t="inlineStr">
        <x:is>
          <x:t xml:space="preserve">2025-05</x:t>
        </x:is>
      </x:c>
      <x:c r="D113" s="2" t="inlineStr">
        <x:is>
          <x:t xml:space="preserve">Planned</x:t>
        </x:is>
      </x:c>
      <x:c r="E113" s="3" t="inlineStr">
        <x:is>
          <x:t xml:space="preserve">Интеграции</x:t>
        </x:is>
      </x:c>
      <x:c r="F113" s="3" t="inlineStr">
        <x:is>
          <x:t xml:space="preserve">SMS/телефония</x:t>
        </x:is>
      </x:c>
      <x:c r="G113" s="2" t="inlineStr">
        <x:is>
          <x:t xml:space="preserve">Backend</x:t>
        </x:is>
      </x:c>
      <x:c r="H113" s="4" t="n">
        <x:v>4700</x:v>
      </x:c>
      <x:c r="I113" s="4" t="n"/>
      <x:c r="J113" s="4">
        <x:f>IF($I113="","",$I113-$H113)</x:f>
      </x:c>
      <x:c r="K113" s="5">
        <x:f>IF($I113="","",($I113-$H113)/$H113)</x:f>
      </x:c>
      <x:c r="L113" s="2">
        <x:f>IF($I113="","Planned",IF($I113&gt;$H113,"Over",IF($I113&lt;$H113,"Under","On plan")))</x:f>
      </x:c>
      <x:c r="M113" s="2">
        <x:f>IF($I113="","",IF(AND($J113&gt;50000,$K113&gt;0.2),"CRITICAL",""))</x:f>
      </x:c>
      <x:c r="N113" s="2" t="inlineStr">
        <x:is>
          <x:t xml:space="preserve">No</x:t>
        </x:is>
      </x:c>
      <x:c r="O113" s="3" t="inlineStr">
        <x:is>
          <x:t xml:space="preserve">факт не заполнен: ожидается счёт/акт, поэтому пока только план</x:t>
        </x:is>
      </x:c>
    </x:row>
    <x:row r="114">
      <x:c r="A114" s="2" t="n">
        <x:v>113</x:v>
      </x:c>
      <x:c r="B114" s="2" t="inlineStr">
        <x:is>
          <x:t xml:space="preserve">PRJ-301</x:t>
        </x:is>
      </x:c>
      <x:c r="C114" s="2" t="inlineStr">
        <x:is>
          <x:t xml:space="preserve">2025-05</x:t>
        </x:is>
      </x:c>
      <x:c r="D114" s="2" t="inlineStr">
        <x:is>
          <x:t xml:space="preserve">Planned</x:t>
        </x:is>
      </x:c>
      <x:c r="E114" s="3" t="inlineStr">
        <x:is>
          <x:t xml:space="preserve">Облако</x:t>
        </x:is>
      </x:c>
      <x:c r="F114" s="3" t="inlineStr">
        <x:is>
          <x:t xml:space="preserve">Облако: VM (compute)</x:t>
        </x:is>
      </x:c>
      <x:c r="G114" s="2" t="inlineStr">
        <x:is>
          <x:t xml:space="preserve">Team Lead</x:t>
        </x:is>
      </x:c>
      <x:c r="H114" s="4" t="n">
        <x:v>49400</x:v>
      </x:c>
      <x:c r="I114" s="4" t="n"/>
      <x:c r="J114" s="4">
        <x:f>IF($I114="","",$I114-$H114)</x:f>
      </x:c>
      <x:c r="K114" s="5">
        <x:f>IF($I114="","",($I114-$H114)/$H114)</x:f>
      </x:c>
      <x:c r="L114" s="2">
        <x:f>IF($I114="","Planned",IF($I114&gt;$H114,"Over",IF($I114&lt;$H114,"Under","On plan")))</x:f>
      </x:c>
      <x:c r="M114" s="2">
        <x:f>IF($I114="","",IF(AND($J114&gt;50000,$K114&gt;0.2),"CRITICAL",""))</x:f>
      </x:c>
      <x:c r="N114" s="2" t="inlineStr">
        <x:is>
          <x:t xml:space="preserve">No</x:t>
        </x:is>
      </x:c>
      <x:c r="O114" s="3" t="inlineStr">
        <x:is>
          <x:t xml:space="preserve">факт не заполнен: счёт ещё не получен, данные появятся после закрытия месяца</x:t>
        </x:is>
      </x:c>
    </x:row>
    <x:row r="115">
      <x:c r="A115" s="2" t="n">
        <x:v>114</x:v>
      </x:c>
      <x:c r="B115" s="2" t="inlineStr">
        <x:is>
          <x:t xml:space="preserve">PRJ-301</x:t>
        </x:is>
      </x:c>
      <x:c r="C115" s="2" t="inlineStr">
        <x:is>
          <x:t xml:space="preserve">2025-05</x:t>
        </x:is>
      </x:c>
      <x:c r="D115" s="2" t="inlineStr">
        <x:is>
          <x:t xml:space="preserve">Planned</x:t>
        </x:is>
      </x:c>
      <x:c r="E115" s="3" t="inlineStr">
        <x:is>
          <x:t xml:space="preserve">Облако</x:t>
        </x:is>
      </x:c>
      <x:c r="F115" s="3" t="inlineStr">
        <x:is>
          <x:t xml:space="preserve">Облако: Storage (object)</x:t>
        </x:is>
      </x:c>
      <x:c r="G115" s="2" t="inlineStr">
        <x:is>
          <x:t xml:space="preserve">Backend</x:t>
        </x:is>
      </x:c>
      <x:c r="H115" s="4" t="n">
        <x:v>18700</x:v>
      </x:c>
      <x:c r="I115" s="4" t="n"/>
      <x:c r="J115" s="4">
        <x:f>IF($I115="","",$I115-$H115)</x:f>
      </x:c>
      <x:c r="K115" s="5">
        <x:f>IF($I115="","",($I115-$H115)/$H115)</x:f>
      </x:c>
      <x:c r="L115" s="2">
        <x:f>IF($I115="","Planned",IF($I115&gt;$H115,"Over",IF($I115&lt;$H115,"Under","On plan")))</x:f>
      </x:c>
      <x:c r="M115" s="2">
        <x:f>IF($I115="","",IF(AND($J115&gt;50000,$K115&gt;0.2),"CRITICAL",""))</x:f>
      </x:c>
      <x:c r="N115" s="2" t="inlineStr">
        <x:is>
          <x:t xml:space="preserve">No</x:t>
        </x:is>
      </x:c>
      <x:c r="O115" s="3" t="inlineStr">
        <x:is>
          <x:t xml:space="preserve">факт не заполнен: расходы запланированы, но оплат ещё не было</x:t>
        </x:is>
      </x:c>
    </x:row>
    <x:row r="116">
      <x:c r="A116" s="2" t="n">
        <x:v>115</x:v>
      </x:c>
      <x:c r="B116" s="2" t="inlineStr">
        <x:is>
          <x:t xml:space="preserve">PRJ-301</x:t>
        </x:is>
      </x:c>
      <x:c r="C116" s="2" t="inlineStr">
        <x:is>
          <x:t xml:space="preserve">2025-05</x:t>
        </x:is>
      </x:c>
      <x:c r="D116" s="2" t="inlineStr">
        <x:is>
          <x:t xml:space="preserve">Planned</x:t>
        </x:is>
      </x:c>
      <x:c r="E116" s="3" t="inlineStr">
        <x:is>
          <x:t xml:space="preserve">Облако</x:t>
        </x:is>
      </x:c>
      <x:c r="F116" s="3" t="inlineStr">
        <x:is>
          <x:t xml:space="preserve">Облако: DB managed</x:t>
        </x:is>
      </x:c>
      <x:c r="G116" s="2" t="inlineStr">
        <x:is>
          <x:t xml:space="preserve">Backend</x:t>
        </x:is>
      </x:c>
      <x:c r="H116" s="4" t="n">
        <x:v>32200</x:v>
      </x:c>
      <x:c r="I116" s="4" t="n"/>
      <x:c r="J116" s="4">
        <x:f>IF($I116="","",$I116-$H116)</x:f>
      </x:c>
      <x:c r="K116" s="5">
        <x:f>IF($I116="","",($I116-$H116)/$H116)</x:f>
      </x:c>
      <x:c r="L116" s="2">
        <x:f>IF($I116="","Planned",IF($I116&gt;$H116,"Over",IF($I116&lt;$H116,"Under","On plan")))</x:f>
      </x:c>
      <x:c r="M116" s="2">
        <x:f>IF($I116="","",IF(AND($J116&gt;50000,$K116&gt;0.2),"CRITICAL",""))</x:f>
      </x:c>
      <x:c r="N116" s="2" t="inlineStr">
        <x:is>
          <x:t xml:space="preserve">No</x:t>
        </x:is>
      </x:c>
      <x:c r="O116" s="3" t="inlineStr">
        <x:is>
          <x:t xml:space="preserve">факт не заполнен: месяц в плане, ожидаем документы от поставщика</x:t>
        </x:is>
      </x:c>
    </x:row>
    <x:row r="117">
      <x:c r="A117" s="2" t="n">
        <x:v>116</x:v>
      </x:c>
      <x:c r="B117" s="2" t="inlineStr">
        <x:is>
          <x:t xml:space="preserve">PRJ-301</x:t>
        </x:is>
      </x:c>
      <x:c r="C117" s="2" t="inlineStr">
        <x:is>
          <x:t xml:space="preserve">2025-05</x:t>
        </x:is>
      </x:c>
      <x:c r="D117" s="2" t="inlineStr">
        <x:is>
          <x:t xml:space="preserve">Planned</x:t>
        </x:is>
      </x:c>
      <x:c r="E117" s="3" t="inlineStr">
        <x:is>
          <x:t xml:space="preserve">Облако</x:t>
        </x:is>
      </x:c>
      <x:c r="F117" s="3" t="inlineStr">
        <x:is>
          <x:t xml:space="preserve">Облако: CDN/Traffic</x:t>
        </x:is>
      </x:c>
      <x:c r="G117" s="2" t="inlineStr">
        <x:is>
          <x:t xml:space="preserve">DevOps</x:t>
        </x:is>
      </x:c>
      <x:c r="H117" s="4" t="n">
        <x:v>16000</x:v>
      </x:c>
      <x:c r="I117" s="4" t="n"/>
      <x:c r="J117" s="4">
        <x:f>IF($I117="","",$I117-$H117)</x:f>
      </x:c>
      <x:c r="K117" s="5">
        <x:f>IF($I117="","",($I117-$H117)/$H117)</x:f>
      </x:c>
      <x:c r="L117" s="2">
        <x:f>IF($I117="","Planned",IF($I117&gt;$H117,"Over",IF($I117&lt;$H117,"Under","On plan")))</x:f>
      </x:c>
      <x:c r="M117" s="2">
        <x:f>IF($I117="","",IF(AND($J117&gt;50000,$K117&gt;0.2),"CRITICAL",""))</x:f>
      </x:c>
      <x:c r="N117" s="2" t="inlineStr">
        <x:is>
          <x:t xml:space="preserve">No</x:t>
        </x:is>
      </x:c>
      <x:c r="O117" s="3" t="inlineStr">
        <x:is>
          <x:t xml:space="preserve">факт не заполнен: счёт ещё не получен, данные появятся после закрытия месяца</x:t>
        </x:is>
      </x:c>
    </x:row>
    <x:row r="118">
      <x:c r="A118" s="2" t="n">
        <x:v>117</x:v>
      </x:c>
      <x:c r="B118" s="2" t="inlineStr">
        <x:is>
          <x:t xml:space="preserve">PRJ-301</x:t>
        </x:is>
      </x:c>
      <x:c r="C118" s="2" t="inlineStr">
        <x:is>
          <x:t xml:space="preserve">2025-05</x:t>
        </x:is>
      </x:c>
      <x:c r="D118" s="2" t="inlineStr">
        <x:is>
          <x:t xml:space="preserve">Planned</x:t>
        </x:is>
      </x:c>
      <x:c r="E118" s="3" t="inlineStr">
        <x:is>
          <x:t xml:space="preserve">Инфраструктура</x:t>
        </x:is>
      </x:c>
      <x:c r="F118" s="3" t="inlineStr">
        <x:is>
          <x:t xml:space="preserve">CI/CD runners</x:t>
        </x:is>
      </x:c>
      <x:c r="G118" s="2" t="inlineStr">
        <x:is>
          <x:t xml:space="preserve">DevOps</x:t>
        </x:is>
      </x:c>
      <x:c r="H118" s="4" t="n">
        <x:v>15600</x:v>
      </x:c>
      <x:c r="I118" s="4" t="n"/>
      <x:c r="J118" s="4">
        <x:f>IF($I118="","",$I118-$H118)</x:f>
      </x:c>
      <x:c r="K118" s="5">
        <x:f>IF($I118="","",($I118-$H118)/$H118)</x:f>
      </x:c>
      <x:c r="L118" s="2">
        <x:f>IF($I118="","Planned",IF($I118&gt;$H118,"Over",IF($I118&lt;$H118,"Under","On plan")))</x:f>
      </x:c>
      <x:c r="M118" s="2">
        <x:f>IF($I118="","",IF(AND($J118&gt;50000,$K118&gt;0.2),"CRITICAL",""))</x:f>
      </x:c>
      <x:c r="N118" s="2" t="inlineStr">
        <x:is>
          <x:t xml:space="preserve">No</x:t>
        </x:is>
      </x:c>
      <x:c r="O118" s="3" t="inlineStr">
        <x:is>
          <x:t xml:space="preserve">факт не заполнен: расходы запланированы, но оплат ещё не было</x:t>
        </x:is>
      </x:c>
    </x:row>
    <x:row r="119">
      <x:c r="A119" s="2" t="n">
        <x:v>118</x:v>
      </x:c>
      <x:c r="B119" s="2" t="inlineStr">
        <x:is>
          <x:t xml:space="preserve">PRJ-301</x:t>
        </x:is>
      </x:c>
      <x:c r="C119" s="2" t="inlineStr">
        <x:is>
          <x:t xml:space="preserve">2025-05</x:t>
        </x:is>
      </x:c>
      <x:c r="D119" s="2" t="inlineStr">
        <x:is>
          <x:t xml:space="preserve">Planned</x:t>
        </x:is>
      </x:c>
      <x:c r="E119" s="3" t="inlineStr">
        <x:is>
          <x:t xml:space="preserve">Инфраструктура</x:t>
        </x:is>
      </x:c>
      <x:c r="F119" s="3" t="inlineStr">
        <x:is>
          <x:t xml:space="preserve">Мониторинг/логирование</x:t>
        </x:is>
      </x:c>
      <x:c r="G119" s="2" t="inlineStr">
        <x:is>
          <x:t xml:space="preserve">DevOps</x:t>
        </x:is>
      </x:c>
      <x:c r="H119" s="4" t="n">
        <x:v>7100</x:v>
      </x:c>
      <x:c r="I119" s="4" t="n"/>
      <x:c r="J119" s="4">
        <x:f>IF($I119="","",$I119-$H119)</x:f>
      </x:c>
      <x:c r="K119" s="5">
        <x:f>IF($I119="","",($I119-$H119)/$H119)</x:f>
      </x:c>
      <x:c r="L119" s="2">
        <x:f>IF($I119="","Planned",IF($I119&gt;$H119,"Over",IF($I119&lt;$H119,"Under","On plan")))</x:f>
      </x:c>
      <x:c r="M119" s="2">
        <x:f>IF($I119="","",IF(AND($J119&gt;50000,$K119&gt;0.2),"CRITICAL",""))</x:f>
      </x:c>
      <x:c r="N119" s="2" t="inlineStr">
        <x:is>
          <x:t xml:space="preserve">No</x:t>
        </x:is>
      </x:c>
      <x:c r="O119" s="3" t="inlineStr">
        <x:is>
          <x:t xml:space="preserve">факт не заполнен: месяц в плане, ожидаем документы от поставщика</x:t>
        </x:is>
      </x:c>
    </x:row>
    <x:row r="120">
      <x:c r="A120" s="2" t="n">
        <x:v>119</x:v>
      </x:c>
      <x:c r="B120" s="2" t="inlineStr">
        <x:is>
          <x:t xml:space="preserve">PRJ-301</x:t>
        </x:is>
      </x:c>
      <x:c r="C120" s="2" t="inlineStr">
        <x:is>
          <x:t xml:space="preserve">2025-05</x:t>
        </x:is>
      </x:c>
      <x:c r="D120" s="2" t="inlineStr">
        <x:is>
          <x:t xml:space="preserve">Planned</x:t>
        </x:is>
      </x:c>
      <x:c r="E120" s="3" t="inlineStr">
        <x:is>
          <x:t xml:space="preserve">Инфраструктура</x:t>
        </x:is>
      </x:c>
      <x:c r="F120" s="3" t="inlineStr">
        <x:is>
          <x:t xml:space="preserve">Домен + SSL</x:t>
        </x:is>
      </x:c>
      <x:c r="G120" s="2" t="inlineStr">
        <x:is>
          <x:t xml:space="preserve">Admin</x:t>
        </x:is>
      </x:c>
      <x:c r="H120" s="4" t="n">
        <x:v>4100</x:v>
      </x:c>
      <x:c r="I120" s="4" t="n"/>
      <x:c r="J120" s="4">
        <x:f>IF($I120="","",$I120-$H120)</x:f>
      </x:c>
      <x:c r="K120" s="5">
        <x:f>IF($I120="","",($I120-$H120)/$H120)</x:f>
      </x:c>
      <x:c r="L120" s="2">
        <x:f>IF($I120="","Planned",IF($I120&gt;$H120,"Over",IF($I120&lt;$H120,"Under","On plan")))</x:f>
      </x:c>
      <x:c r="M120" s="2">
        <x:f>IF($I120="","",IF(AND($J120&gt;50000,$K120&gt;0.2),"CRITICAL",""))</x:f>
      </x:c>
      <x:c r="N120" s="2" t="inlineStr">
        <x:is>
          <x:t xml:space="preserve">No</x:t>
        </x:is>
      </x:c>
      <x:c r="O120" s="3" t="inlineStr">
        <x:is>
          <x:t xml:space="preserve">факт не заполнен: месяц в плане, ожидаем документы от поставщика</x:t>
        </x:is>
      </x:c>
    </x:row>
    <x:row r="121">
      <x:c r="A121" s="2" t="n">
        <x:v>120</x:v>
      </x:c>
      <x:c r="B121" s="2" t="inlineStr">
        <x:is>
          <x:t xml:space="preserve">PRJ-301</x:t>
        </x:is>
      </x:c>
      <x:c r="C121" s="2" t="inlineStr">
        <x:is>
          <x:t xml:space="preserve">2025-05</x:t>
        </x:is>
      </x:c>
      <x:c r="D121" s="2" t="inlineStr">
        <x:is>
          <x:t xml:space="preserve">Planned</x:t>
        </x:is>
      </x:c>
      <x:c r="E121" s="3" t="inlineStr">
        <x:is>
          <x:t xml:space="preserve">ПО/Лицензии</x:t>
        </x:is>
      </x:c>
      <x:c r="F121" s="3" t="inlineStr">
        <x:is>
          <x:t xml:space="preserve">Лицензии IDE</x:t>
        </x:is>
      </x:c>
      <x:c r="G121" s="2" t="inlineStr">
        <x:is>
          <x:t xml:space="preserve">Admin</x:t>
        </x:is>
      </x:c>
      <x:c r="H121" s="4" t="n">
        <x:v>16500</x:v>
      </x:c>
      <x:c r="I121" s="4" t="n"/>
      <x:c r="J121" s="4">
        <x:f>IF($I121="","",$I121-$H121)</x:f>
      </x:c>
      <x:c r="K121" s="5">
        <x:f>IF($I121="","",($I121-$H121)/$H121)</x:f>
      </x:c>
      <x:c r="L121" s="2">
        <x:f>IF($I121="","Planned",IF($I121&gt;$H121,"Over",IF($I121&lt;$H121,"Under","On plan")))</x:f>
      </x:c>
      <x:c r="M121" s="2">
        <x:f>IF($I121="","",IF(AND($J121&gt;50000,$K121&gt;0.2),"CRITICAL",""))</x:f>
      </x:c>
      <x:c r="N121" s="2" t="inlineStr">
        <x:is>
          <x:t xml:space="preserve">No</x:t>
        </x:is>
      </x:c>
      <x:c r="O121" s="3" t="inlineStr">
        <x:is>
          <x:t xml:space="preserve">факт не заполнен: расходы запланированы, но оплат ещё не было</x:t>
        </x:is>
      </x:c>
    </x:row>
    <x:row r="122">
      <x:c r="A122" s="2" t="n">
        <x:v>121</x:v>
      </x:c>
      <x:c r="B122" s="2" t="inlineStr">
        <x:is>
          <x:t xml:space="preserve">PRJ-301</x:t>
        </x:is>
      </x:c>
      <x:c r="C122" s="2" t="inlineStr">
        <x:is>
          <x:t xml:space="preserve">2025-05</x:t>
        </x:is>
      </x:c>
      <x:c r="D122" s="2" t="inlineStr">
        <x:is>
          <x:t xml:space="preserve">Planned</x:t>
        </x:is>
      </x:c>
      <x:c r="E122" s="3" t="inlineStr">
        <x:is>
          <x:t xml:space="preserve">ПО/Лицензии</x:t>
        </x:is>
      </x:c>
      <x:c r="F122" s="3" t="inlineStr">
        <x:is>
          <x:t xml:space="preserve">Figma/Design tools</x:t>
        </x:is>
      </x:c>
      <x:c r="G122" s="2" t="inlineStr">
        <x:is>
          <x:t xml:space="preserve">Designer</x:t>
        </x:is>
      </x:c>
      <x:c r="H122" s="4" t="n">
        <x:v>12700</x:v>
      </x:c>
      <x:c r="I122" s="4" t="n"/>
      <x:c r="J122" s="4">
        <x:f>IF($I122="","",$I122-$H122)</x:f>
      </x:c>
      <x:c r="K122" s="5">
        <x:f>IF($I122="","",($I122-$H122)/$H122)</x:f>
      </x:c>
      <x:c r="L122" s="2">
        <x:f>IF($I122="","Planned",IF($I122&gt;$H122,"Over",IF($I122&lt;$H122,"Under","On plan")))</x:f>
      </x:c>
      <x:c r="M122" s="2">
        <x:f>IF($I122="","",IF(AND($J122&gt;50000,$K122&gt;0.2),"CRITICAL",""))</x:f>
      </x:c>
      <x:c r="N122" s="2" t="inlineStr">
        <x:is>
          <x:t xml:space="preserve">No</x:t>
        </x:is>
      </x:c>
      <x:c r="O122" s="3" t="inlineStr">
        <x:is>
          <x:t xml:space="preserve">факт не заполнен: месяц в плане, ожидаем документы от поставщика</x:t>
        </x:is>
      </x:c>
    </x:row>
    <x:row r="123">
      <x:c r="A123" s="2" t="n">
        <x:v>122</x:v>
      </x:c>
      <x:c r="B123" s="2" t="inlineStr">
        <x:is>
          <x:t xml:space="preserve">PRJ-301</x:t>
        </x:is>
      </x:c>
      <x:c r="C123" s="2" t="inlineStr">
        <x:is>
          <x:t xml:space="preserve">2025-05</x:t>
        </x:is>
      </x:c>
      <x:c r="D123" s="2" t="inlineStr">
        <x:is>
          <x:t xml:space="preserve">Planned</x:t>
        </x:is>
      </x:c>
      <x:c r="E123" s="3" t="inlineStr">
        <x:is>
          <x:t xml:space="preserve">ПО/Лицензии</x:t>
        </x:is>
      </x:c>
      <x:c r="F123" s="3" t="inlineStr">
        <x:is>
          <x:t xml:space="preserve">Jira/Confluence</x:t>
        </x:is>
      </x:c>
      <x:c r="G123" s="2" t="inlineStr">
        <x:is>
          <x:t xml:space="preserve">PM</x:t>
        </x:is>
      </x:c>
      <x:c r="H123" s="4" t="n">
        <x:v>11900</x:v>
      </x:c>
      <x:c r="I123" s="4" t="n"/>
      <x:c r="J123" s="4">
        <x:f>IF($I123="","",$I123-$H123)</x:f>
      </x:c>
      <x:c r="K123" s="5">
        <x:f>IF($I123="","",($I123-$H123)/$H123)</x:f>
      </x:c>
      <x:c r="L123" s="2">
        <x:f>IF($I123="","Planned",IF($I123&gt;$H123,"Over",IF($I123&lt;$H123,"Under","On plan")))</x:f>
      </x:c>
      <x:c r="M123" s="2">
        <x:f>IF($I123="","",IF(AND($J123&gt;50000,$K123&gt;0.2),"CRITICAL",""))</x:f>
      </x:c>
      <x:c r="N123" s="2" t="inlineStr">
        <x:is>
          <x:t xml:space="preserve">No</x:t>
        </x:is>
      </x:c>
      <x:c r="O123" s="3" t="inlineStr">
        <x:is>
          <x:t xml:space="preserve">факт не заполнен: счёт ещё не получен, данные появятся после закрытия месяца</x:t>
        </x:is>
      </x:c>
    </x:row>
    <x:row r="124">
      <x:c r="A124" s="2" t="n">
        <x:v>123</x:v>
      </x:c>
      <x:c r="B124" s="2" t="inlineStr">
        <x:is>
          <x:t xml:space="preserve">PRJ-301</x:t>
        </x:is>
      </x:c>
      <x:c r="C124" s="2" t="inlineStr">
        <x:is>
          <x:t xml:space="preserve">2025-05</x:t>
        </x:is>
      </x:c>
      <x:c r="D124" s="2" t="inlineStr">
        <x:is>
          <x:t xml:space="preserve">Planned</x:t>
        </x:is>
      </x:c>
      <x:c r="E124" s="3" t="inlineStr">
        <x:is>
          <x:t xml:space="preserve">ПО/Лицензии</x:t>
        </x:is>
      </x:c>
      <x:c r="F124" s="3" t="inlineStr">
        <x:is>
          <x:t xml:space="preserve">Email/рассылки</x:t>
        </x:is>
      </x:c>
      <x:c r="G124" s="2" t="inlineStr">
        <x:is>
          <x:t xml:space="preserve">Backend</x:t>
        </x:is>
      </x:c>
      <x:c r="H124" s="4" t="n">
        <x:v>9800</x:v>
      </x:c>
      <x:c r="I124" s="4" t="n"/>
      <x:c r="J124" s="4">
        <x:f>IF($I124="","",$I124-$H124)</x:f>
      </x:c>
      <x:c r="K124" s="5">
        <x:f>IF($I124="","",($I124-$H124)/$H124)</x:f>
      </x:c>
      <x:c r="L124" s="2">
        <x:f>IF($I124="","Planned",IF($I124&gt;$H124,"Over",IF($I124&lt;$H124,"Under","On plan")))</x:f>
      </x:c>
      <x:c r="M124" s="2">
        <x:f>IF($I124="","",IF(AND($J124&gt;50000,$K124&gt;0.2),"CRITICAL",""))</x:f>
      </x:c>
      <x:c r="N124" s="2" t="inlineStr">
        <x:is>
          <x:t xml:space="preserve">No</x:t>
        </x:is>
      </x:c>
      <x:c r="O124" s="3" t="inlineStr">
        <x:is>
          <x:t xml:space="preserve">факт не заполнен: расходы запланированы, но оплат ещё не было</x:t>
        </x:is>
      </x:c>
    </x:row>
    <x:row r="125">
      <x:c r="A125" s="2" t="n">
        <x:v>124</x:v>
      </x:c>
      <x:c r="B125" s="2" t="inlineStr">
        <x:is>
          <x:t xml:space="preserve">PRJ-301</x:t>
        </x:is>
      </x:c>
      <x:c r="C125" s="2" t="inlineStr">
        <x:is>
          <x:t xml:space="preserve">2025-05</x:t>
        </x:is>
      </x:c>
      <x:c r="D125" s="2" t="inlineStr">
        <x:is>
          <x:t xml:space="preserve">Planned</x:t>
        </x:is>
      </x:c>
      <x:c r="E125" s="3" t="inlineStr">
        <x:is>
          <x:t xml:space="preserve">Подряд</x:t>
        </x:is>
      </x:c>
      <x:c r="F125" s="3" t="inlineStr">
        <x:is>
          <x:t xml:space="preserve">Подряд: дизайн (иллюстрации)</x:t>
        </x:is>
      </x:c>
      <x:c r="G125" s="2" t="inlineStr">
        <x:is>
          <x:t xml:space="preserve">Designer</x:t>
        </x:is>
      </x:c>
      <x:c r="H125" s="4" t="n">
        <x:v>29900</x:v>
      </x:c>
      <x:c r="I125" s="4" t="n"/>
      <x:c r="J125" s="4">
        <x:f>IF($I125="","",$I125-$H125)</x:f>
      </x:c>
      <x:c r="K125" s="5">
        <x:f>IF($I125="","",($I125-$H125)/$H125)</x:f>
      </x:c>
      <x:c r="L125" s="2">
        <x:f>IF($I125="","Planned",IF($I125&gt;$H125,"Over",IF($I125&lt;$H125,"Under","On plan")))</x:f>
      </x:c>
      <x:c r="M125" s="2">
        <x:f>IF($I125="","",IF(AND($J125&gt;50000,$K125&gt;0.2),"CRITICAL",""))</x:f>
      </x:c>
      <x:c r="N125" s="2" t="inlineStr">
        <x:is>
          <x:t xml:space="preserve">No</x:t>
        </x:is>
      </x:c>
      <x:c r="O125" s="3" t="inlineStr">
        <x:is>
          <x:t xml:space="preserve">факт не заполнен: ожидается счёт/акт, поэтому пока только план</x:t>
        </x:is>
      </x:c>
    </x:row>
    <x:row r="126">
      <x:c r="A126" s="2" t="n">
        <x:v>125</x:v>
      </x:c>
      <x:c r="B126" s="2" t="inlineStr">
        <x:is>
          <x:t xml:space="preserve">PRJ-301</x:t>
        </x:is>
      </x:c>
      <x:c r="C126" s="2" t="inlineStr">
        <x:is>
          <x:t xml:space="preserve">2025-05</x:t>
        </x:is>
      </x:c>
      <x:c r="D126" s="2" t="inlineStr">
        <x:is>
          <x:t xml:space="preserve">Planned</x:t>
        </x:is>
      </x:c>
      <x:c r="E126" s="3" t="inlineStr">
        <x:is>
          <x:t xml:space="preserve">Подряд</x:t>
        </x:is>
      </x:c>
      <x:c r="F126" s="3" t="inlineStr">
        <x:is>
          <x:t xml:space="preserve">Подряд: UX-исследование</x:t>
        </x:is>
      </x:c>
      <x:c r="G126" s="2" t="inlineStr">
        <x:is>
          <x:t xml:space="preserve">Analyst</x:t>
        </x:is>
      </x:c>
      <x:c r="H126" s="4" t="n">
        <x:v>65500</x:v>
      </x:c>
      <x:c r="I126" s="4" t="n"/>
      <x:c r="J126" s="4">
        <x:f>IF($I126="","",$I126-$H126)</x:f>
      </x:c>
      <x:c r="K126" s="5">
        <x:f>IF($I126="","",($I126-$H126)/$H126)</x:f>
      </x:c>
      <x:c r="L126" s="2">
        <x:f>IF($I126="","Planned",IF($I126&gt;$H126,"Over",IF($I126&lt;$H126,"Under","On plan")))</x:f>
      </x:c>
      <x:c r="M126" s="2">
        <x:f>IF($I126="","",IF(AND($J126&gt;50000,$K126&gt;0.2),"CRITICAL",""))</x:f>
      </x:c>
      <x:c r="N126" s="2" t="inlineStr">
        <x:is>
          <x:t xml:space="preserve">No</x:t>
        </x:is>
      </x:c>
      <x:c r="O126" s="3" t="inlineStr">
        <x:is>
          <x:t xml:space="preserve">факт не заполнен: счёт ещё не получен, данные появятся после закрытия месяца</x:t>
        </x:is>
      </x:c>
    </x:row>
    <x:row r="127">
      <x:c r="A127" s="2" t="n">
        <x:v>126</x:v>
      </x:c>
      <x:c r="B127" s="2" t="inlineStr">
        <x:is>
          <x:t xml:space="preserve">PRJ-301</x:t>
        </x:is>
      </x:c>
      <x:c r="C127" s="2" t="inlineStr">
        <x:is>
          <x:t xml:space="preserve">2025-06</x:t>
        </x:is>
      </x:c>
      <x:c r="D127" s="2" t="inlineStr">
        <x:is>
          <x:t xml:space="preserve">Planned</x:t>
        </x:is>
      </x:c>
      <x:c r="E127" s="3" t="inlineStr">
        <x:is>
          <x:t xml:space="preserve">Контент</x:t>
        </x:is>
      </x:c>
      <x:c r="F127" s="3" t="inlineStr">
        <x:is>
          <x:t xml:space="preserve">Запись видео/монтаж</x:t>
        </x:is>
      </x:c>
      <x:c r="G127" s="2" t="inlineStr">
        <x:is>
          <x:t xml:space="preserve">Marketing</x:t>
        </x:is>
      </x:c>
      <x:c r="H127" s="4" t="n">
        <x:v>32500</x:v>
      </x:c>
      <x:c r="I127" s="4" t="n"/>
      <x:c r="J127" s="4">
        <x:f>IF($I127="","",$I127-$H127)</x:f>
      </x:c>
      <x:c r="K127" s="5">
        <x:f>IF($I127="","",($I127-$H127)/$H127)</x:f>
      </x:c>
      <x:c r="L127" s="2">
        <x:f>IF($I127="","Planned",IF($I127&gt;$H127,"Over",IF($I127&lt;$H127,"Under","On plan")))</x:f>
      </x:c>
      <x:c r="M127" s="2">
        <x:f>IF($I127="","",IF(AND($J127&gt;50000,$K127&gt;0.2),"CRITICAL",""))</x:f>
      </x:c>
      <x:c r="N127" s="2" t="inlineStr">
        <x:is>
          <x:t xml:space="preserve">No</x:t>
        </x:is>
      </x:c>
      <x:c r="O127" s="3" t="inlineStr">
        <x:is>
          <x:t xml:space="preserve">факт не заполнен: счёт ещё не получен, данные появятся после закрытия месяца</x:t>
        </x:is>
      </x:c>
    </x:row>
    <x:row r="128">
      <x:c r="A128" s="2" t="n">
        <x:v>127</x:v>
      </x:c>
      <x:c r="B128" s="2" t="inlineStr">
        <x:is>
          <x:t xml:space="preserve">PRJ-301</x:t>
        </x:is>
      </x:c>
      <x:c r="C128" s="2" t="inlineStr">
        <x:is>
          <x:t xml:space="preserve">2025-06</x:t>
        </x:is>
      </x:c>
      <x:c r="D128" s="2" t="inlineStr">
        <x:is>
          <x:t xml:space="preserve">Planned</x:t>
        </x:is>
      </x:c>
      <x:c r="E128" s="3" t="inlineStr">
        <x:is>
          <x:t xml:space="preserve">Контент</x:t>
        </x:is>
      </x:c>
      <x:c r="F128" s="3" t="inlineStr">
        <x:is>
          <x:t xml:space="preserve">Озвучка/диктор</x:t>
        </x:is>
      </x:c>
      <x:c r="G128" s="2" t="inlineStr">
        <x:is>
          <x:t xml:space="preserve">Marketing</x:t>
        </x:is>
      </x:c>
      <x:c r="H128" s="4" t="n">
        <x:v>37500</x:v>
      </x:c>
      <x:c r="I128" s="4" t="n"/>
      <x:c r="J128" s="4">
        <x:f>IF($I128="","",$I128-$H128)</x:f>
      </x:c>
      <x:c r="K128" s="5">
        <x:f>IF($I128="","",($I128-$H128)/$H128)</x:f>
      </x:c>
      <x:c r="L128" s="2">
        <x:f>IF($I128="","Planned",IF($I128&gt;$H128,"Over",IF($I128&lt;$H128,"Under","On plan")))</x:f>
      </x:c>
      <x:c r="M128" s="2">
        <x:f>IF($I128="","",IF(AND($J128&gt;50000,$K128&gt;0.2),"CRITICAL",""))</x:f>
      </x:c>
      <x:c r="N128" s="2" t="inlineStr">
        <x:is>
          <x:t xml:space="preserve">No</x:t>
        </x:is>
      </x:c>
      <x:c r="O128" s="3" t="inlineStr">
        <x:is>
          <x:t xml:space="preserve">факт не заполнен: расходы запланированы, но оплат ещё не было</x:t>
        </x:is>
      </x:c>
    </x:row>
    <x:row r="129">
      <x:c r="A129" s="2" t="n">
        <x:v>128</x:v>
      </x:c>
      <x:c r="B129" s="2" t="inlineStr">
        <x:is>
          <x:t xml:space="preserve">PRJ-301</x:t>
        </x:is>
      </x:c>
      <x:c r="C129" s="2" t="inlineStr">
        <x:is>
          <x:t xml:space="preserve">2025-06</x:t>
        </x:is>
      </x:c>
      <x:c r="D129" s="2" t="inlineStr">
        <x:is>
          <x:t xml:space="preserve">Planned</x:t>
        </x:is>
      </x:c>
      <x:c r="E129" s="3" t="inlineStr">
        <x:is>
          <x:t xml:space="preserve">Контент</x:t>
        </x:is>
      </x:c>
      <x:c r="F129" s="3" t="inlineStr">
        <x:is>
          <x:t xml:space="preserve">Фотосъёмка/материалы</x:t>
        </x:is>
      </x:c>
      <x:c r="G129" s="2" t="inlineStr">
        <x:is>
          <x:t xml:space="preserve">Marketing</x:t>
        </x:is>
      </x:c>
      <x:c r="H129" s="4" t="n">
        <x:v>30500</x:v>
      </x:c>
      <x:c r="I129" s="4" t="n"/>
      <x:c r="J129" s="4">
        <x:f>IF($I129="","",$I129-$H129)</x:f>
      </x:c>
      <x:c r="K129" s="5">
        <x:f>IF($I129="","",($I129-$H129)/$H129)</x:f>
      </x:c>
      <x:c r="L129" s="2">
        <x:f>IF($I129="","Planned",IF($I129&gt;$H129,"Over",IF($I129&lt;$H129,"Under","On plan")))</x:f>
      </x:c>
      <x:c r="M129" s="2">
        <x:f>IF($I129="","",IF(AND($J129&gt;50000,$K129&gt;0.2),"CRITICAL",""))</x:f>
      </x:c>
      <x:c r="N129" s="2" t="inlineStr">
        <x:is>
          <x:t xml:space="preserve">No</x:t>
        </x:is>
      </x:c>
      <x:c r="O129" s="3" t="inlineStr">
        <x:is>
          <x:t xml:space="preserve">факт не заполнен: расходы запланированы, но оплат ещё не было</x:t>
        </x:is>
      </x:c>
    </x:row>
    <x:row r="130">
      <x:c r="A130" s="2" t="n">
        <x:v>129</x:v>
      </x:c>
      <x:c r="B130" s="2" t="inlineStr">
        <x:is>
          <x:t xml:space="preserve">PRJ-301</x:t>
        </x:is>
      </x:c>
      <x:c r="C130" s="2" t="inlineStr">
        <x:is>
          <x:t xml:space="preserve">2025-06</x:t>
        </x:is>
      </x:c>
      <x:c r="D130" s="2" t="inlineStr">
        <x:is>
          <x:t xml:space="preserve">Planned</x:t>
        </x:is>
      </x:c>
      <x:c r="E130" s="3" t="inlineStr">
        <x:is>
          <x:t xml:space="preserve">Интеграции</x:t>
        </x:is>
      </x:c>
      <x:c r="F130" s="3" t="inlineStr">
        <x:is>
          <x:t xml:space="preserve">API-подписки (платные)</x:t>
        </x:is>
      </x:c>
      <x:c r="G130" s="2" t="inlineStr">
        <x:is>
          <x:t xml:space="preserve">Backend</x:t>
        </x:is>
      </x:c>
      <x:c r="H130" s="4" t="n">
        <x:v>22200</x:v>
      </x:c>
      <x:c r="I130" s="4" t="n"/>
      <x:c r="J130" s="4">
        <x:f>IF($I130="","",$I130-$H130)</x:f>
      </x:c>
      <x:c r="K130" s="5">
        <x:f>IF($I130="","",($I130-$H130)/$H130)</x:f>
      </x:c>
      <x:c r="L130" s="2">
        <x:f>IF($I130="","Planned",IF($I130&gt;$H130,"Over",IF($I130&lt;$H130,"Under","On plan")))</x:f>
      </x:c>
      <x:c r="M130" s="2">
        <x:f>IF($I130="","",IF(AND($J130&gt;50000,$K130&gt;0.2),"CRITICAL",""))</x:f>
      </x:c>
      <x:c r="N130" s="2" t="inlineStr">
        <x:is>
          <x:t xml:space="preserve">No</x:t>
        </x:is>
      </x:c>
      <x:c r="O130" s="3" t="inlineStr">
        <x:is>
          <x:t xml:space="preserve">факт не заполнен: месяц в плане, ожидаем документы от поставщика</x:t>
        </x:is>
      </x:c>
    </x:row>
    <x:row r="131">
      <x:c r="A131" s="2" t="n">
        <x:v>130</x:v>
      </x:c>
      <x:c r="B131" s="2" t="inlineStr">
        <x:is>
          <x:t xml:space="preserve">PRJ-301</x:t>
        </x:is>
      </x:c>
      <x:c r="C131" s="2" t="inlineStr">
        <x:is>
          <x:t xml:space="preserve">2025-06</x:t>
        </x:is>
      </x:c>
      <x:c r="D131" s="2" t="inlineStr">
        <x:is>
          <x:t xml:space="preserve">Planned</x:t>
        </x:is>
      </x:c>
      <x:c r="E131" s="3" t="inlineStr">
        <x:is>
          <x:t xml:space="preserve">Интеграции</x:t>
        </x:is>
      </x:c>
      <x:c r="F131" s="3" t="inlineStr">
        <x:is>
          <x:t xml:space="preserve">SMS/телефония</x:t>
        </x:is>
      </x:c>
      <x:c r="G131" s="2" t="inlineStr">
        <x:is>
          <x:t xml:space="preserve">Backend</x:t>
        </x:is>
      </x:c>
      <x:c r="H131" s="4" t="n">
        <x:v>19300</x:v>
      </x:c>
      <x:c r="I131" s="4" t="n"/>
      <x:c r="J131" s="4">
        <x:f>IF($I131="","",$I131-$H131)</x:f>
      </x:c>
      <x:c r="K131" s="5">
        <x:f>IF($I131="","",($I131-$H131)/$H131)</x:f>
      </x:c>
      <x:c r="L131" s="2">
        <x:f>IF($I131="","Planned",IF($I131&gt;$H131,"Over",IF($I131&lt;$H131,"Under","On plan")))</x:f>
      </x:c>
      <x:c r="M131" s="2">
        <x:f>IF($I131="","",IF(AND($J131&gt;50000,$K131&gt;0.2),"CRITICAL",""))</x:f>
      </x:c>
      <x:c r="N131" s="2" t="inlineStr">
        <x:is>
          <x:t xml:space="preserve">No</x:t>
        </x:is>
      </x:c>
      <x:c r="O131" s="3" t="inlineStr">
        <x:is>
          <x:t xml:space="preserve">факт не заполнен: счёт ещё не получен, данные появятся после закрытия месяца</x:t>
        </x:is>
      </x:c>
    </x:row>
    <x:row r="132">
      <x:c r="A132" s="2" t="n">
        <x:v>131</x:v>
      </x:c>
      <x:c r="B132" s="2" t="inlineStr">
        <x:is>
          <x:t xml:space="preserve">PRJ-301</x:t>
        </x:is>
      </x:c>
      <x:c r="C132" s="2" t="inlineStr">
        <x:is>
          <x:t xml:space="preserve">2025-06</x:t>
        </x:is>
      </x:c>
      <x:c r="D132" s="2" t="inlineStr">
        <x:is>
          <x:t xml:space="preserve">Planned</x:t>
        </x:is>
      </x:c>
      <x:c r="E132" s="3" t="inlineStr">
        <x:is>
          <x:t xml:space="preserve">Облако</x:t>
        </x:is>
      </x:c>
      <x:c r="F132" s="3" t="inlineStr">
        <x:is>
          <x:t xml:space="preserve">Облако: VM (compute)</x:t>
        </x:is>
      </x:c>
      <x:c r="G132" s="2" t="inlineStr">
        <x:is>
          <x:t xml:space="preserve">Team Lead</x:t>
        </x:is>
      </x:c>
      <x:c r="H132" s="4" t="n">
        <x:v>51400</x:v>
      </x:c>
      <x:c r="I132" s="4" t="n"/>
      <x:c r="J132" s="4">
        <x:f>IF($I132="","",$I132-$H132)</x:f>
      </x:c>
      <x:c r="K132" s="5">
        <x:f>IF($I132="","",($I132-$H132)/$H132)</x:f>
      </x:c>
      <x:c r="L132" s="2">
        <x:f>IF($I132="","Planned",IF($I132&gt;$H132,"Over",IF($I132&lt;$H132,"Under","On plan")))</x:f>
      </x:c>
      <x:c r="M132" s="2">
        <x:f>IF($I132="","",IF(AND($J132&gt;50000,$K132&gt;0.2),"CRITICAL",""))</x:f>
      </x:c>
      <x:c r="N132" s="2" t="inlineStr">
        <x:is>
          <x:t xml:space="preserve">No</x:t>
        </x:is>
      </x:c>
      <x:c r="O132" s="3" t="inlineStr">
        <x:is>
          <x:t xml:space="preserve">факт не заполнен: месяц в плане, ожидаем документы от поставщика</x:t>
        </x:is>
      </x:c>
    </x:row>
    <x:row r="133">
      <x:c r="A133" s="2" t="n">
        <x:v>132</x:v>
      </x:c>
      <x:c r="B133" s="2" t="inlineStr">
        <x:is>
          <x:t xml:space="preserve">PRJ-301</x:t>
        </x:is>
      </x:c>
      <x:c r="C133" s="2" t="inlineStr">
        <x:is>
          <x:t xml:space="preserve">2025-06</x:t>
        </x:is>
      </x:c>
      <x:c r="D133" s="2" t="inlineStr">
        <x:is>
          <x:t xml:space="preserve">Planned</x:t>
        </x:is>
      </x:c>
      <x:c r="E133" s="3" t="inlineStr">
        <x:is>
          <x:t xml:space="preserve">Облако</x:t>
        </x:is>
      </x:c>
      <x:c r="F133" s="3" t="inlineStr">
        <x:is>
          <x:t xml:space="preserve">Облако: Storage (object)</x:t>
        </x:is>
      </x:c>
      <x:c r="G133" s="2" t="inlineStr">
        <x:is>
          <x:t xml:space="preserve">Backend</x:t>
        </x:is>
      </x:c>
      <x:c r="H133" s="4" t="n">
        <x:v>9800</x:v>
      </x:c>
      <x:c r="I133" s="4" t="n"/>
      <x:c r="J133" s="4">
        <x:f>IF($I133="","",$I133-$H133)</x:f>
      </x:c>
      <x:c r="K133" s="5">
        <x:f>IF($I133="","",($I133-$H133)/$H133)</x:f>
      </x:c>
      <x:c r="L133" s="2">
        <x:f>IF($I133="","Planned",IF($I133&gt;$H133,"Over",IF($I133&lt;$H133,"Under","On plan")))</x:f>
      </x:c>
      <x:c r="M133" s="2">
        <x:f>IF($I133="","",IF(AND($J133&gt;50000,$K133&gt;0.2),"CRITICAL",""))</x:f>
      </x:c>
      <x:c r="N133" s="2" t="inlineStr">
        <x:is>
          <x:t xml:space="preserve">No</x:t>
        </x:is>
      </x:c>
      <x:c r="O133" s="3" t="inlineStr">
        <x:is>
          <x:t xml:space="preserve">факт не заполнен: счёт ещё не получен, данные появятся после закрытия месяца</x:t>
        </x:is>
      </x:c>
    </x:row>
    <x:row r="134">
      <x:c r="A134" s="2" t="n">
        <x:v>133</x:v>
      </x:c>
      <x:c r="B134" s="2" t="inlineStr">
        <x:is>
          <x:t xml:space="preserve">PRJ-301</x:t>
        </x:is>
      </x:c>
      <x:c r="C134" s="2" t="inlineStr">
        <x:is>
          <x:t xml:space="preserve">2025-06</x:t>
        </x:is>
      </x:c>
      <x:c r="D134" s="2" t="inlineStr">
        <x:is>
          <x:t xml:space="preserve">Planned</x:t>
        </x:is>
      </x:c>
      <x:c r="E134" s="3" t="inlineStr">
        <x:is>
          <x:t xml:space="preserve">Облако</x:t>
        </x:is>
      </x:c>
      <x:c r="F134" s="3" t="inlineStr">
        <x:is>
          <x:t xml:space="preserve">Облако: DB managed</x:t>
        </x:is>
      </x:c>
      <x:c r="G134" s="2" t="inlineStr">
        <x:is>
          <x:t xml:space="preserve">Backend</x:t>
        </x:is>
      </x:c>
      <x:c r="H134" s="4" t="n">
        <x:v>32800</x:v>
      </x:c>
      <x:c r="I134" s="4" t="n"/>
      <x:c r="J134" s="4">
        <x:f>IF($I134="","",$I134-$H134)</x:f>
      </x:c>
      <x:c r="K134" s="5">
        <x:f>IF($I134="","",($I134-$H134)/$H134)</x:f>
      </x:c>
      <x:c r="L134" s="2">
        <x:f>IF($I134="","Planned",IF($I134&gt;$H134,"Over",IF($I134&lt;$H134,"Under","On plan")))</x:f>
      </x:c>
      <x:c r="M134" s="2">
        <x:f>IF($I134="","",IF(AND($J134&gt;50000,$K134&gt;0.2),"CRITICAL",""))</x:f>
      </x:c>
      <x:c r="N134" s="2" t="inlineStr">
        <x:is>
          <x:t xml:space="preserve">No</x:t>
        </x:is>
      </x:c>
      <x:c r="O134" s="3" t="inlineStr">
        <x:is>
          <x:t xml:space="preserve">факт не заполнен: счёт ещё не получен, данные появятся после закрытия месяца</x:t>
        </x:is>
      </x:c>
    </x:row>
    <x:row r="135">
      <x:c r="A135" s="2" t="n">
        <x:v>134</x:v>
      </x:c>
      <x:c r="B135" s="2" t="inlineStr">
        <x:is>
          <x:t xml:space="preserve">PRJ-301</x:t>
        </x:is>
      </x:c>
      <x:c r="C135" s="2" t="inlineStr">
        <x:is>
          <x:t xml:space="preserve">2025-06</x:t>
        </x:is>
      </x:c>
      <x:c r="D135" s="2" t="inlineStr">
        <x:is>
          <x:t xml:space="preserve">Planned</x:t>
        </x:is>
      </x:c>
      <x:c r="E135" s="3" t="inlineStr">
        <x:is>
          <x:t xml:space="preserve">Облако</x:t>
        </x:is>
      </x:c>
      <x:c r="F135" s="3" t="inlineStr">
        <x:is>
          <x:t xml:space="preserve">Облако: CDN/Traffic</x:t>
        </x:is>
      </x:c>
      <x:c r="G135" s="2" t="inlineStr">
        <x:is>
          <x:t xml:space="preserve">DevOps</x:t>
        </x:is>
      </x:c>
      <x:c r="H135" s="4" t="n">
        <x:v>12600</x:v>
      </x:c>
      <x:c r="I135" s="4" t="n"/>
      <x:c r="J135" s="4">
        <x:f>IF($I135="","",$I135-$H135)</x:f>
      </x:c>
      <x:c r="K135" s="5">
        <x:f>IF($I135="","",($I135-$H135)/$H135)</x:f>
      </x:c>
      <x:c r="L135" s="2">
        <x:f>IF($I135="","Planned",IF($I135&gt;$H135,"Over",IF($I135&lt;$H135,"Under","On plan")))</x:f>
      </x:c>
      <x:c r="M135" s="2">
        <x:f>IF($I135="","",IF(AND($J135&gt;50000,$K135&gt;0.2),"CRITICAL",""))</x:f>
      </x:c>
      <x:c r="N135" s="2" t="inlineStr">
        <x:is>
          <x:t xml:space="preserve">No</x:t>
        </x:is>
      </x:c>
      <x:c r="O135" s="3" t="inlineStr">
        <x:is>
          <x:t xml:space="preserve">факт не заполнен: ожидается счёт/акт, поэтому пока только план</x:t>
        </x:is>
      </x:c>
    </x:row>
    <x:row r="136">
      <x:c r="A136" s="2" t="n">
        <x:v>135</x:v>
      </x:c>
      <x:c r="B136" s="2" t="inlineStr">
        <x:is>
          <x:t xml:space="preserve">PRJ-301</x:t>
        </x:is>
      </x:c>
      <x:c r="C136" s="2" t="inlineStr">
        <x:is>
          <x:t xml:space="preserve">2025-06</x:t>
        </x:is>
      </x:c>
      <x:c r="D136" s="2" t="inlineStr">
        <x:is>
          <x:t xml:space="preserve">Planned</x:t>
        </x:is>
      </x:c>
      <x:c r="E136" s="3" t="inlineStr">
        <x:is>
          <x:t xml:space="preserve">Инфраструктура</x:t>
        </x:is>
      </x:c>
      <x:c r="F136" s="3" t="inlineStr">
        <x:is>
          <x:t xml:space="preserve">CI/CD runners</x:t>
        </x:is>
      </x:c>
      <x:c r="G136" s="2" t="inlineStr">
        <x:is>
          <x:t xml:space="preserve">DevOps</x:t>
        </x:is>
      </x:c>
      <x:c r="H136" s="4" t="n">
        <x:v>15900</x:v>
      </x:c>
      <x:c r="I136" s="4" t="n"/>
      <x:c r="J136" s="4">
        <x:f>IF($I136="","",$I136-$H136)</x:f>
      </x:c>
      <x:c r="K136" s="5">
        <x:f>IF($I136="","",($I136-$H136)/$H136)</x:f>
      </x:c>
      <x:c r="L136" s="2">
        <x:f>IF($I136="","Planned",IF($I136&gt;$H136,"Over",IF($I136&lt;$H136,"Under","On plan")))</x:f>
      </x:c>
      <x:c r="M136" s="2">
        <x:f>IF($I136="","",IF(AND($J136&gt;50000,$K136&gt;0.2),"CRITICAL",""))</x:f>
      </x:c>
      <x:c r="N136" s="2" t="inlineStr">
        <x:is>
          <x:t xml:space="preserve">No</x:t>
        </x:is>
      </x:c>
      <x:c r="O136" s="3" t="inlineStr">
        <x:is>
          <x:t xml:space="preserve">факт не заполнен: счёт ещё не получен, данные появятся после закрытия месяца</x:t>
        </x:is>
      </x:c>
    </x:row>
    <x:row r="137">
      <x:c r="A137" s="2" t="n">
        <x:v>136</x:v>
      </x:c>
      <x:c r="B137" s="2" t="inlineStr">
        <x:is>
          <x:t xml:space="preserve">PRJ-301</x:t>
        </x:is>
      </x:c>
      <x:c r="C137" s="2" t="inlineStr">
        <x:is>
          <x:t xml:space="preserve">2025-06</x:t>
        </x:is>
      </x:c>
      <x:c r="D137" s="2" t="inlineStr">
        <x:is>
          <x:t xml:space="preserve">Planned</x:t>
        </x:is>
      </x:c>
      <x:c r="E137" s="3" t="inlineStr">
        <x:is>
          <x:t xml:space="preserve">Инфраструктура</x:t>
        </x:is>
      </x:c>
      <x:c r="F137" s="3" t="inlineStr">
        <x:is>
          <x:t xml:space="preserve">Мониторинг/логирование</x:t>
        </x:is>
      </x:c>
      <x:c r="G137" s="2" t="inlineStr">
        <x:is>
          <x:t xml:space="preserve">DevOps</x:t>
        </x:is>
      </x:c>
      <x:c r="H137" s="4" t="n">
        <x:v>7500</x:v>
      </x:c>
      <x:c r="I137" s="4" t="n"/>
      <x:c r="J137" s="4">
        <x:f>IF($I137="","",$I137-$H137)</x:f>
      </x:c>
      <x:c r="K137" s="5">
        <x:f>IF($I137="","",($I137-$H137)/$H137)</x:f>
      </x:c>
      <x:c r="L137" s="2">
        <x:f>IF($I137="","Planned",IF($I137&gt;$H137,"Over",IF($I137&lt;$H137,"Under","On plan")))</x:f>
      </x:c>
      <x:c r="M137" s="2">
        <x:f>IF($I137="","",IF(AND($J137&gt;50000,$K137&gt;0.2),"CRITICAL",""))</x:f>
      </x:c>
      <x:c r="N137" s="2" t="inlineStr">
        <x:is>
          <x:t xml:space="preserve">No</x:t>
        </x:is>
      </x:c>
      <x:c r="O137" s="3" t="inlineStr">
        <x:is>
          <x:t xml:space="preserve">факт не заполнен: месяц в плане, ожидаем документы от поставщика</x:t>
        </x:is>
      </x:c>
    </x:row>
    <x:row r="138">
      <x:c r="A138" s="2" t="n">
        <x:v>137</x:v>
      </x:c>
      <x:c r="B138" s="2" t="inlineStr">
        <x:is>
          <x:t xml:space="preserve">PRJ-301</x:t>
        </x:is>
      </x:c>
      <x:c r="C138" s="2" t="inlineStr">
        <x:is>
          <x:t xml:space="preserve">2025-06</x:t>
        </x:is>
      </x:c>
      <x:c r="D138" s="2" t="inlineStr">
        <x:is>
          <x:t xml:space="preserve">Planned</x:t>
        </x:is>
      </x:c>
      <x:c r="E138" s="3" t="inlineStr">
        <x:is>
          <x:t xml:space="preserve">Инфраструктура</x:t>
        </x:is>
      </x:c>
      <x:c r="F138" s="3" t="inlineStr">
        <x:is>
          <x:t xml:space="preserve">Домен + SSL</x:t>
        </x:is>
      </x:c>
      <x:c r="G138" s="2" t="inlineStr">
        <x:is>
          <x:t xml:space="preserve">Admin</x:t>
        </x:is>
      </x:c>
      <x:c r="H138" s="4" t="n">
        <x:v>8400</x:v>
      </x:c>
      <x:c r="I138" s="4" t="n"/>
      <x:c r="J138" s="4">
        <x:f>IF($I138="","",$I138-$H138)</x:f>
      </x:c>
      <x:c r="K138" s="5">
        <x:f>IF($I138="","",($I138-$H138)/$H138)</x:f>
      </x:c>
      <x:c r="L138" s="2">
        <x:f>IF($I138="","Planned",IF($I138&gt;$H138,"Over",IF($I138&lt;$H138,"Under","On plan")))</x:f>
      </x:c>
      <x:c r="M138" s="2">
        <x:f>IF($I138="","",IF(AND($J138&gt;50000,$K138&gt;0.2),"CRITICAL",""))</x:f>
      </x:c>
      <x:c r="N138" s="2" t="inlineStr">
        <x:is>
          <x:t xml:space="preserve">No</x:t>
        </x:is>
      </x:c>
      <x:c r="O138" s="3" t="inlineStr">
        <x:is>
          <x:t xml:space="preserve">факт не заполнен: месяц в плане, ожидаем документы от поставщика</x:t>
        </x:is>
      </x:c>
    </x:row>
    <x:row r="139">
      <x:c r="A139" s="2" t="n">
        <x:v>138</x:v>
      </x:c>
      <x:c r="B139" s="2" t="inlineStr">
        <x:is>
          <x:t xml:space="preserve">PRJ-301</x:t>
        </x:is>
      </x:c>
      <x:c r="C139" s="2" t="inlineStr">
        <x:is>
          <x:t xml:space="preserve">2025-06</x:t>
        </x:is>
      </x:c>
      <x:c r="D139" s="2" t="inlineStr">
        <x:is>
          <x:t xml:space="preserve">Planned</x:t>
        </x:is>
      </x:c>
      <x:c r="E139" s="3" t="inlineStr">
        <x:is>
          <x:t xml:space="preserve">ПО/Лицензии</x:t>
        </x:is>
      </x:c>
      <x:c r="F139" s="3" t="inlineStr">
        <x:is>
          <x:t xml:space="preserve">Лицензии IDE</x:t>
        </x:is>
      </x:c>
      <x:c r="G139" s="2" t="inlineStr">
        <x:is>
          <x:t xml:space="preserve">Admin</x:t>
        </x:is>
      </x:c>
      <x:c r="H139" s="4" t="n">
        <x:v>11400</x:v>
      </x:c>
      <x:c r="I139" s="4" t="n"/>
      <x:c r="J139" s="4">
        <x:f>IF($I139="","",$I139-$H139)</x:f>
      </x:c>
      <x:c r="K139" s="5">
        <x:f>IF($I139="","",($I139-$H139)/$H139)</x:f>
      </x:c>
      <x:c r="L139" s="2">
        <x:f>IF($I139="","Planned",IF($I139&gt;$H139,"Over",IF($I139&lt;$H139,"Under","On plan")))</x:f>
      </x:c>
      <x:c r="M139" s="2">
        <x:f>IF($I139="","",IF(AND($J139&gt;50000,$K139&gt;0.2),"CRITICAL",""))</x:f>
      </x:c>
      <x:c r="N139" s="2" t="inlineStr">
        <x:is>
          <x:t xml:space="preserve">No</x:t>
        </x:is>
      </x:c>
      <x:c r="O139" s="3" t="inlineStr">
        <x:is>
          <x:t xml:space="preserve">факт не заполнен: ожидается счёт/акт, поэтому пока только план</x:t>
        </x:is>
      </x:c>
    </x:row>
    <x:row r="140">
      <x:c r="A140" s="2" t="n">
        <x:v>139</x:v>
      </x:c>
      <x:c r="B140" s="2" t="inlineStr">
        <x:is>
          <x:t xml:space="preserve">PRJ-301</x:t>
        </x:is>
      </x:c>
      <x:c r="C140" s="2" t="inlineStr">
        <x:is>
          <x:t xml:space="preserve">2025-06</x:t>
        </x:is>
      </x:c>
      <x:c r="D140" s="2" t="inlineStr">
        <x:is>
          <x:t xml:space="preserve">Planned</x:t>
        </x:is>
      </x:c>
      <x:c r="E140" s="3" t="inlineStr">
        <x:is>
          <x:t xml:space="preserve">ПО/Лицензии</x:t>
        </x:is>
      </x:c>
      <x:c r="F140" s="3" t="inlineStr">
        <x:is>
          <x:t xml:space="preserve">Figma/Design tools</x:t>
        </x:is>
      </x:c>
      <x:c r="G140" s="2" t="inlineStr">
        <x:is>
          <x:t xml:space="preserve">Designer</x:t>
        </x:is>
      </x:c>
      <x:c r="H140" s="4" t="n">
        <x:v>3100</x:v>
      </x:c>
      <x:c r="I140" s="4" t="n"/>
      <x:c r="J140" s="4">
        <x:f>IF($I140="","",$I140-$H140)</x:f>
      </x:c>
      <x:c r="K140" s="5">
        <x:f>IF($I140="","",($I140-$H140)/$H140)</x:f>
      </x:c>
      <x:c r="L140" s="2">
        <x:f>IF($I140="","Planned",IF($I140&gt;$H140,"Over",IF($I140&lt;$H140,"Under","On plan")))</x:f>
      </x:c>
      <x:c r="M140" s="2">
        <x:f>IF($I140="","",IF(AND($J140&gt;50000,$K140&gt;0.2),"CRITICAL",""))</x:f>
      </x:c>
      <x:c r="N140" s="2" t="inlineStr">
        <x:is>
          <x:t xml:space="preserve">No</x:t>
        </x:is>
      </x:c>
      <x:c r="O140" s="3" t="inlineStr">
        <x:is>
          <x:t xml:space="preserve">факт не заполнен: месяц в плане, ожидаем документы от поставщика</x:t>
        </x:is>
      </x:c>
    </x:row>
    <x:row r="141">
      <x:c r="A141" s="2" t="n">
        <x:v>140</x:v>
      </x:c>
      <x:c r="B141" s="2" t="inlineStr">
        <x:is>
          <x:t xml:space="preserve">PRJ-301</x:t>
        </x:is>
      </x:c>
      <x:c r="C141" s="2" t="inlineStr">
        <x:is>
          <x:t xml:space="preserve">2025-06</x:t>
        </x:is>
      </x:c>
      <x:c r="D141" s="2" t="inlineStr">
        <x:is>
          <x:t xml:space="preserve">Planned</x:t>
        </x:is>
      </x:c>
      <x:c r="E141" s="3" t="inlineStr">
        <x:is>
          <x:t xml:space="preserve">ПО/Лицензии</x:t>
        </x:is>
      </x:c>
      <x:c r="F141" s="3" t="inlineStr">
        <x:is>
          <x:t xml:space="preserve">Jira/Confluence</x:t>
        </x:is>
      </x:c>
      <x:c r="G141" s="2" t="inlineStr">
        <x:is>
          <x:t xml:space="preserve">PM</x:t>
        </x:is>
      </x:c>
      <x:c r="H141" s="4" t="n">
        <x:v>11100</x:v>
      </x:c>
      <x:c r="I141" s="4" t="n"/>
      <x:c r="J141" s="4">
        <x:f>IF($I141="","",$I141-$H141)</x:f>
      </x:c>
      <x:c r="K141" s="5">
        <x:f>IF($I141="","",($I141-$H141)/$H141)</x:f>
      </x:c>
      <x:c r="L141" s="2">
        <x:f>IF($I141="","Planned",IF($I141&gt;$H141,"Over",IF($I141&lt;$H141,"Under","On plan")))</x:f>
      </x:c>
      <x:c r="M141" s="2">
        <x:f>IF($I141="","",IF(AND($J141&gt;50000,$K141&gt;0.2),"CRITICAL",""))</x:f>
      </x:c>
      <x:c r="N141" s="2" t="inlineStr">
        <x:is>
          <x:t xml:space="preserve">No</x:t>
        </x:is>
      </x:c>
      <x:c r="O141" s="3" t="inlineStr">
        <x:is>
          <x:t xml:space="preserve">факт не заполнен: расходы запланированы, но оплат ещё не было</x:t>
        </x:is>
      </x:c>
    </x:row>
    <x:row r="142">
      <x:c r="A142" s="2" t="n">
        <x:v>141</x:v>
      </x:c>
      <x:c r="B142" s="2" t="inlineStr">
        <x:is>
          <x:t xml:space="preserve">PRJ-301</x:t>
        </x:is>
      </x:c>
      <x:c r="C142" s="2" t="inlineStr">
        <x:is>
          <x:t xml:space="preserve">2025-06</x:t>
        </x:is>
      </x:c>
      <x:c r="D142" s="2" t="inlineStr">
        <x:is>
          <x:t xml:space="preserve">Planned</x:t>
        </x:is>
      </x:c>
      <x:c r="E142" s="3" t="inlineStr">
        <x:is>
          <x:t xml:space="preserve">ПО/Лицензии</x:t>
        </x:is>
      </x:c>
      <x:c r="F142" s="3" t="inlineStr">
        <x:is>
          <x:t xml:space="preserve">Email/рассылки</x:t>
        </x:is>
      </x:c>
      <x:c r="G142" s="2" t="inlineStr">
        <x:is>
          <x:t xml:space="preserve">Backend</x:t>
        </x:is>
      </x:c>
      <x:c r="H142" s="4" t="n">
        <x:v>5300</x:v>
      </x:c>
      <x:c r="I142" s="4" t="n"/>
      <x:c r="J142" s="4">
        <x:f>IF($I142="","",$I142-$H142)</x:f>
      </x:c>
      <x:c r="K142" s="5">
        <x:f>IF($I142="","",($I142-$H142)/$H142)</x:f>
      </x:c>
      <x:c r="L142" s="2">
        <x:f>IF($I142="","Planned",IF($I142&gt;$H142,"Over",IF($I142&lt;$H142,"Under","On plan")))</x:f>
      </x:c>
      <x:c r="M142" s="2">
        <x:f>IF($I142="","",IF(AND($J142&gt;50000,$K142&gt;0.2),"CRITICAL",""))</x:f>
      </x:c>
      <x:c r="N142" s="2" t="inlineStr">
        <x:is>
          <x:t xml:space="preserve">No</x:t>
        </x:is>
      </x:c>
      <x:c r="O142" s="3" t="inlineStr">
        <x:is>
          <x:t xml:space="preserve">факт не заполнен: ожидается счёт/акт, поэтому пока только план</x:t>
        </x:is>
      </x:c>
    </x:row>
    <x:row r="143">
      <x:c r="A143" s="2" t="n">
        <x:v>142</x:v>
      </x:c>
      <x:c r="B143" s="2" t="inlineStr">
        <x:is>
          <x:t xml:space="preserve">PRJ-301</x:t>
        </x:is>
      </x:c>
      <x:c r="C143" s="2" t="inlineStr">
        <x:is>
          <x:t xml:space="preserve">2025-06</x:t>
        </x:is>
      </x:c>
      <x:c r="D143" s="2" t="inlineStr">
        <x:is>
          <x:t xml:space="preserve">Planned</x:t>
        </x:is>
      </x:c>
      <x:c r="E143" s="3" t="inlineStr">
        <x:is>
          <x:t xml:space="preserve">Подряд</x:t>
        </x:is>
      </x:c>
      <x:c r="F143" s="3" t="inlineStr">
        <x:is>
          <x:t xml:space="preserve">Подряд: дизайн (иллюстрации)</x:t>
        </x:is>
      </x:c>
      <x:c r="G143" s="2" t="inlineStr">
        <x:is>
          <x:t xml:space="preserve">Designer</x:t>
        </x:is>
      </x:c>
      <x:c r="H143" s="4" t="n">
        <x:v>27300</x:v>
      </x:c>
      <x:c r="I143" s="4" t="n"/>
      <x:c r="J143" s="4">
        <x:f>IF($I143="","",$I143-$H143)</x:f>
      </x:c>
      <x:c r="K143" s="5">
        <x:f>IF($I143="","",($I143-$H143)/$H143)</x:f>
      </x:c>
      <x:c r="L143" s="2">
        <x:f>IF($I143="","Planned",IF($I143&gt;$H143,"Over",IF($I143&lt;$H143,"Under","On plan")))</x:f>
      </x:c>
      <x:c r="M143" s="2">
        <x:f>IF($I143="","",IF(AND($J143&gt;50000,$K143&gt;0.2),"CRITICAL",""))</x:f>
      </x:c>
      <x:c r="N143" s="2" t="inlineStr">
        <x:is>
          <x:t xml:space="preserve">No</x:t>
        </x:is>
      </x:c>
      <x:c r="O143" s="3" t="inlineStr">
        <x:is>
          <x:t xml:space="preserve">факт не заполнен: месяц в плане, ожидаем документы от поставщика</x:t>
        </x:is>
      </x:c>
    </x:row>
    <x:row r="144">
      <x:c r="A144" s="2" t="n">
        <x:v>143</x:v>
      </x:c>
      <x:c r="B144" s="2" t="inlineStr">
        <x:is>
          <x:t xml:space="preserve">PRJ-301</x:t>
        </x:is>
      </x:c>
      <x:c r="C144" s="2" t="inlineStr">
        <x:is>
          <x:t xml:space="preserve">2025-06</x:t>
        </x:is>
      </x:c>
      <x:c r="D144" s="2" t="inlineStr">
        <x:is>
          <x:t xml:space="preserve">Planned</x:t>
        </x:is>
      </x:c>
      <x:c r="E144" s="3" t="inlineStr">
        <x:is>
          <x:t xml:space="preserve">Подряд</x:t>
        </x:is>
      </x:c>
      <x:c r="F144" s="3" t="inlineStr">
        <x:is>
          <x:t xml:space="preserve">Подряд: UX-исследование</x:t>
        </x:is>
      </x:c>
      <x:c r="G144" s="2" t="inlineStr">
        <x:is>
          <x:t xml:space="preserve">Analyst</x:t>
        </x:is>
      </x:c>
      <x:c r="H144" s="4" t="n">
        <x:v>76800</x:v>
      </x:c>
      <x:c r="I144" s="4" t="n"/>
      <x:c r="J144" s="4">
        <x:f>IF($I144="","",$I144-$H144)</x:f>
      </x:c>
      <x:c r="K144" s="5">
        <x:f>IF($I144="","",($I144-$H144)/$H144)</x:f>
      </x:c>
      <x:c r="L144" s="2">
        <x:f>IF($I144="","Planned",IF($I144&gt;$H144,"Over",IF($I144&lt;$H144,"Under","On plan")))</x:f>
      </x:c>
      <x:c r="M144" s="2">
        <x:f>IF($I144="","",IF(AND($J144&gt;50000,$K144&gt;0.2),"CRITICAL",""))</x:f>
      </x:c>
      <x:c r="N144" s="2" t="inlineStr">
        <x:is>
          <x:t xml:space="preserve">No</x:t>
        </x:is>
      </x:c>
      <x:c r="O144" s="3" t="inlineStr">
        <x:is>
          <x:t xml:space="preserve">факт не заполнен: месяц в плане, ожидаем документы от поставщика</x:t>
        </x:is>
      </x:c>
    </x:row>
    <x:row r="145">
      <x:c r="A145" s="2" t="n">
        <x:v>144</x:v>
      </x:c>
      <x:c r="B145" s="2" t="inlineStr">
        <x:is>
          <x:t xml:space="preserve">PRJ-301</x:t>
        </x:is>
      </x:c>
      <x:c r="C145" s="2" t="inlineStr">
        <x:is>
          <x:t xml:space="preserve">2025-06</x:t>
        </x:is>
      </x:c>
      <x:c r="D145" s="2" t="inlineStr">
        <x:is>
          <x:t xml:space="preserve">Planned</x:t>
        </x:is>
      </x:c>
      <x:c r="E145" s="3" t="inlineStr">
        <x:is>
          <x:t xml:space="preserve">Подряд</x:t>
        </x:is>
      </x:c>
      <x:c r="F145" s="3" t="inlineStr">
        <x:is>
          <x:t xml:space="preserve">Подряд: аналитика/BI</x:t>
        </x:is>
      </x:c>
      <x:c r="G145" s="2" t="inlineStr">
        <x:is>
          <x:t xml:space="preserve">Analyst</x:t>
        </x:is>
      </x:c>
      <x:c r="H145" s="4" t="n">
        <x:v>115100</x:v>
      </x:c>
      <x:c r="I145" s="4" t="n"/>
      <x:c r="J145" s="4">
        <x:f>IF($I145="","",$I145-$H145)</x:f>
      </x:c>
      <x:c r="K145" s="5">
        <x:f>IF($I145="","",($I145-$H145)/$H145)</x:f>
      </x:c>
      <x:c r="L145" s="2">
        <x:f>IF($I145="","Planned",IF($I145&gt;$H145,"Over",IF($I145&lt;$H145,"Under","On plan")))</x:f>
      </x:c>
      <x:c r="M145" s="2">
        <x:f>IF($I145="","",IF(AND($J145&gt;50000,$K145&gt;0.2),"CRITICAL",""))</x:f>
      </x:c>
      <x:c r="N145" s="2" t="inlineStr">
        <x:is>
          <x:t xml:space="preserve">No</x:t>
        </x:is>
      </x:c>
      <x:c r="O145" s="3" t="inlineStr">
        <x:is>
          <x:t xml:space="preserve">факт не заполнен: расходы запланированы, но оплат ещё не было</x:t>
        </x:is>
      </x:c>
    </x:row>
    <x:row r="146">
      <x:c r="A146" s="2" t="n">
        <x:v>145</x:v>
      </x:c>
      <x:c r="B146" s="2" t="inlineStr">
        <x:is>
          <x:t xml:space="preserve">PRJ-301</x:t>
        </x:is>
      </x:c>
      <x:c r="C146" s="2" t="inlineStr">
        <x:is>
          <x:t xml:space="preserve">2025-06</x:t>
        </x:is>
      </x:c>
      <x:c r="D146" s="2" t="inlineStr">
        <x:is>
          <x:t xml:space="preserve">Planned</x:t>
        </x:is>
      </x:c>
      <x:c r="E146" s="3" t="inlineStr">
        <x:is>
          <x:t xml:space="preserve">Подряд</x:t>
        </x:is>
      </x:c>
      <x:c r="F146" s="3" t="inlineStr">
        <x:is>
          <x:t xml:space="preserve">Подряд: разработка (внешние)</x:t>
        </x:is>
      </x:c>
      <x:c r="G146" s="2" t="inlineStr">
        <x:is>
          <x:t xml:space="preserve">Team Lead</x:t>
        </x:is>
      </x:c>
      <x:c r="H146" s="4" t="n">
        <x:v>113900</x:v>
      </x:c>
      <x:c r="I146" s="4" t="n"/>
      <x:c r="J146" s="4">
        <x:f>IF($I146="","",$I146-$H146)</x:f>
      </x:c>
      <x:c r="K146" s="5">
        <x:f>IF($I146="","",($I146-$H146)/$H146)</x:f>
      </x:c>
      <x:c r="L146" s="2">
        <x:f>IF($I146="","Planned",IF($I146&gt;$H146,"Over",IF($I146&lt;$H146,"Under","On plan")))</x:f>
      </x:c>
      <x:c r="M146" s="2">
        <x:f>IF($I146="","",IF(AND($J146&gt;50000,$K146&gt;0.2),"CRITICAL",""))</x:f>
      </x:c>
      <x:c r="N146" s="2" t="inlineStr">
        <x:is>
          <x:t xml:space="preserve">No</x:t>
        </x:is>
      </x:c>
      <x:c r="O146" s="3" t="inlineStr">
        <x:is>
          <x:t xml:space="preserve">факт не заполнен: ожидается счёт/акт, поэтому пока только план</x:t>
        </x:is>
      </x:c>
    </x:row>
    <x:row r="147">
      <x:c r="A147" s="2" t="n">
        <x:v>146</x:v>
      </x:c>
      <x:c r="B147" s="2" t="inlineStr">
        <x:is>
          <x:t xml:space="preserve">PRJ-301</x:t>
        </x:is>
      </x:c>
      <x:c r="C147" s="2" t="inlineStr">
        <x:is>
          <x:t xml:space="preserve">2025-06</x:t>
        </x:is>
      </x:c>
      <x:c r="D147" s="2" t="inlineStr">
        <x:is>
          <x:t xml:space="preserve">Planned</x:t>
        </x:is>
      </x:c>
      <x:c r="E147" s="3" t="inlineStr">
        <x:is>
          <x:t xml:space="preserve">Маркетинг</x:t>
        </x:is>
      </x:c>
      <x:c r="F147" s="3" t="inlineStr">
        <x:is>
          <x:t xml:space="preserve">Маркетинг: лендинг</x:t>
        </x:is>
      </x:c>
      <x:c r="G147" s="2" t="inlineStr">
        <x:is>
          <x:t xml:space="preserve">Marketing</x:t>
        </x:is>
      </x:c>
      <x:c r="H147" s="4" t="n">
        <x:v>34500</x:v>
      </x:c>
      <x:c r="I147" s="4" t="n"/>
      <x:c r="J147" s="4">
        <x:f>IF($I147="","",$I147-$H147)</x:f>
      </x:c>
      <x:c r="K147" s="5">
        <x:f>IF($I147="","",($I147-$H147)/$H147)</x:f>
      </x:c>
      <x:c r="L147" s="2">
        <x:f>IF($I147="","Planned",IF($I147&gt;$H147,"Over",IF($I147&lt;$H147,"Under","On plan")))</x:f>
      </x:c>
      <x:c r="M147" s="2">
        <x:f>IF($I147="","",IF(AND($J147&gt;50000,$K147&gt;0.2),"CRITICAL",""))</x:f>
      </x:c>
      <x:c r="N147" s="2" t="inlineStr">
        <x:is>
          <x:t xml:space="preserve">No</x:t>
        </x:is>
      </x:c>
      <x:c r="O147" s="3" t="inlineStr">
        <x:is>
          <x:t xml:space="preserve">факт не заполнен: расходы запланированы, но оплат ещё не было</x:t>
        </x:is>
      </x:c>
    </x:row>
    <x:row r="148">
      <x:c r="A148" s="2" t="n">
        <x:v>147</x:v>
      </x:c>
      <x:c r="B148" s="2" t="inlineStr">
        <x:is>
          <x:t xml:space="preserve">PRJ-301</x:t>
        </x:is>
      </x:c>
      <x:c r="C148" s="2" t="inlineStr">
        <x:is>
          <x:t xml:space="preserve">2025-06</x:t>
        </x:is>
      </x:c>
      <x:c r="D148" s="2" t="inlineStr">
        <x:is>
          <x:t xml:space="preserve">Planned</x:t>
        </x:is>
      </x:c>
      <x:c r="E148" s="3" t="inlineStr">
        <x:is>
          <x:t xml:space="preserve">Маркетинг</x:t>
        </x:is>
      </x:c>
      <x:c r="F148" s="3" t="inlineStr">
        <x:is>
          <x:t xml:space="preserve">Маркетинг: реклама (контекст)</x:t>
        </x:is>
      </x:c>
      <x:c r="G148" s="2" t="inlineStr">
        <x:is>
          <x:t xml:space="preserve">Marketing</x:t>
        </x:is>
      </x:c>
      <x:c r="H148" s="4" t="n">
        <x:v>41400</x:v>
      </x:c>
      <x:c r="I148" s="4" t="n"/>
      <x:c r="J148" s="4">
        <x:f>IF($I148="","",$I148-$H148)</x:f>
      </x:c>
      <x:c r="K148" s="5">
        <x:f>IF($I148="","",($I148-$H148)/$H148)</x:f>
      </x:c>
      <x:c r="L148" s="2">
        <x:f>IF($I148="","Planned",IF($I148&gt;$H148,"Over",IF($I148&lt;$H148,"Under","On plan")))</x:f>
      </x:c>
      <x:c r="M148" s="2">
        <x:f>IF($I148="","",IF(AND($J148&gt;50000,$K148&gt;0.2),"CRITICAL",""))</x:f>
      </x:c>
      <x:c r="N148" s="2" t="inlineStr">
        <x:is>
          <x:t xml:space="preserve">No</x:t>
        </x:is>
      </x:c>
      <x:c r="O148" s="3" t="inlineStr">
        <x:is>
          <x:t xml:space="preserve">факт не заполнен: ожидается счёт/акт, поэтому пока только план</x:t>
        </x:is>
      </x:c>
    </x:row>
    <x:row r="149">
      <x:c r="A149" s="2" t="n">
        <x:v>148</x:v>
      </x:c>
      <x:c r="B149" s="2" t="inlineStr">
        <x:is>
          <x:t xml:space="preserve">PRJ-301</x:t>
        </x:is>
      </x:c>
      <x:c r="C149" s="2" t="inlineStr">
        <x:is>
          <x:t xml:space="preserve">2025-06</x:t>
        </x:is>
      </x:c>
      <x:c r="D149" s="2" t="inlineStr">
        <x:is>
          <x:t xml:space="preserve">Planned</x:t>
        </x:is>
      </x:c>
      <x:c r="E149" s="3" t="inlineStr">
        <x:is>
          <x:t xml:space="preserve">Маркетинг</x:t>
        </x:is>
      </x:c>
      <x:c r="F149" s="3" t="inlineStr">
        <x:is>
          <x:t xml:space="preserve">Маркетинг: контент/копирайт</x:t>
        </x:is>
      </x:c>
      <x:c r="G149" s="2" t="inlineStr">
        <x:is>
          <x:t xml:space="preserve">Marketing</x:t>
        </x:is>
      </x:c>
      <x:c r="H149" s="4" t="n">
        <x:v>16000</x:v>
      </x:c>
      <x:c r="I149" s="4" t="n"/>
      <x:c r="J149" s="4">
        <x:f>IF($I149="","",$I149-$H149)</x:f>
      </x:c>
      <x:c r="K149" s="5">
        <x:f>IF($I149="","",($I149-$H149)/$H149)</x:f>
      </x:c>
      <x:c r="L149" s="2">
        <x:f>IF($I149="","Planned",IF($I149&gt;$H149,"Over",IF($I149&lt;$H149,"Under","On plan")))</x:f>
      </x:c>
      <x:c r="M149" s="2">
        <x:f>IF($I149="","",IF(AND($J149&gt;50000,$K149&gt;0.2),"CRITICAL",""))</x:f>
      </x:c>
      <x:c r="N149" s="2" t="inlineStr">
        <x:is>
          <x:t xml:space="preserve">No</x:t>
        </x:is>
      </x:c>
      <x:c r="O149" s="3" t="inlineStr">
        <x:is>
          <x:t xml:space="preserve">факт не заполнен: ожидается счёт/акт, поэтому пока только план</x:t>
        </x:is>
      </x:c>
    </x:row>
    <x:row r="150">
      <x:c r="A150" s="2" t="n">
        <x:v>149</x:v>
      </x:c>
      <x:c r="B150" s="2" t="inlineStr">
        <x:is>
          <x:t xml:space="preserve">PRJ-301</x:t>
        </x:is>
      </x:c>
      <x:c r="C150" s="2" t="inlineStr">
        <x:is>
          <x:t xml:space="preserve">2025-06</x:t>
        </x:is>
      </x:c>
      <x:c r="D150" s="2" t="inlineStr">
        <x:is>
          <x:t xml:space="preserve">Planned</x:t>
        </x:is>
      </x:c>
      <x:c r="E150" s="3" t="inlineStr">
        <x:is>
          <x:t xml:space="preserve">Железо</x:t>
        </x:is>
      </x:c>
      <x:c r="F150" s="3" t="inlineStr">
        <x:is>
          <x:t xml:space="preserve">Тестовые устройства (QA)</x:t>
        </x:is>
      </x:c>
      <x:c r="G150" s="2" t="inlineStr">
        <x:is>
          <x:t xml:space="preserve">QA</x:t>
        </x:is>
      </x:c>
      <x:c r="H150" s="4" t="n">
        <x:v>35000</x:v>
      </x:c>
      <x:c r="I150" s="4" t="n"/>
      <x:c r="J150" s="4">
        <x:f>IF($I150="","",$I150-$H150)</x:f>
      </x:c>
      <x:c r="K150" s="5">
        <x:f>IF($I150="","",($I150-$H150)/$H150)</x:f>
      </x:c>
      <x:c r="L150" s="2">
        <x:f>IF($I150="","Planned",IF($I150&gt;$H150,"Over",IF($I150&lt;$H150,"Under","On plan")))</x:f>
      </x:c>
      <x:c r="M150" s="2">
        <x:f>IF($I150="","",IF(AND($J150&gt;50000,$K150&gt;0.2),"CRITICAL",""))</x:f>
      </x:c>
      <x:c r="N150" s="2" t="inlineStr">
        <x:is>
          <x:t xml:space="preserve">No</x:t>
        </x:is>
      </x:c>
      <x:c r="O150" s="3" t="inlineStr">
        <x:is>
          <x:t xml:space="preserve">факт не заполнен: счёт ещё не получен, данные появятся после закрытия месяца</x:t>
        </x:is>
      </x:c>
    </x:row>
    <x:row r="151">
      <x:c r="A151" s="2" t="n">
        <x:v>150</x:v>
      </x:c>
      <x:c r="B151" s="2" t="inlineStr">
        <x:is>
          <x:t xml:space="preserve">PRJ-301</x:t>
        </x:is>
      </x:c>
      <x:c r="C151" s="2" t="inlineStr">
        <x:is>
          <x:t xml:space="preserve">2025-06</x:t>
        </x:is>
      </x:c>
      <x:c r="D151" s="2" t="inlineStr">
        <x:is>
          <x:t xml:space="preserve">Planned</x:t>
        </x:is>
      </x:c>
      <x:c r="E151" s="3" t="inlineStr">
        <x:is>
          <x:t xml:space="preserve">Железо</x:t>
        </x:is>
      </x:c>
      <x:c r="F151" s="3" t="inlineStr">
        <x:is>
          <x:t xml:space="preserve">Сервер/мини-ПК для стенда</x:t>
        </x:is>
      </x:c>
      <x:c r="G151" s="2" t="inlineStr">
        <x:is>
          <x:t xml:space="preserve">DevOps</x:t>
        </x:is>
      </x:c>
      <x:c r="H151" s="4" t="n">
        <x:v>107400</x:v>
      </x:c>
      <x:c r="I151" s="4" t="n"/>
      <x:c r="J151" s="4">
        <x:f>IF($I151="","",$I151-$H151)</x:f>
      </x:c>
      <x:c r="K151" s="5">
        <x:f>IF($I151="","",($I151-$H151)/$H151)</x:f>
      </x:c>
      <x:c r="L151" s="2">
        <x:f>IF($I151="","Planned",IF($I151&gt;$H151,"Over",IF($I151&lt;$H151,"Under","On plan")))</x:f>
      </x:c>
      <x:c r="M151" s="2">
        <x:f>IF($I151="","",IF(AND($J151&gt;50000,$K151&gt;0.2),"CRITICAL",""))</x:f>
      </x:c>
      <x:c r="N151" s="2" t="inlineStr">
        <x:is>
          <x:t xml:space="preserve">No</x:t>
        </x:is>
      </x:c>
      <x:c r="O151" s="3" t="inlineStr">
        <x:is>
          <x:t xml:space="preserve">факт не заполнен: месяц в плане, ожидаем документы от поставщика</x:t>
        </x:is>
      </x:c>
    </x:row>
    <x:row r="152">
      <x:c r="A152" s="2" t="n">
        <x:v>151</x:v>
      </x:c>
      <x:c r="B152" s="2" t="inlineStr">
        <x:is>
          <x:t xml:space="preserve">PRJ-301</x:t>
        </x:is>
      </x:c>
      <x:c r="C152" s="2" t="inlineStr">
        <x:is>
          <x:t xml:space="preserve">2025-07</x:t>
        </x:is>
      </x:c>
      <x:c r="D152" s="2" t="inlineStr">
        <x:is>
          <x:t xml:space="preserve">Planned</x:t>
        </x:is>
      </x:c>
      <x:c r="E152" s="3" t="inlineStr">
        <x:is>
          <x:t xml:space="preserve">Облако</x:t>
        </x:is>
      </x:c>
      <x:c r="F152" s="3" t="inlineStr">
        <x:is>
          <x:t xml:space="preserve">Облако: DB managed</x:t>
        </x:is>
      </x:c>
      <x:c r="G152" s="2" t="inlineStr">
        <x:is>
          <x:t xml:space="preserve">Backend</x:t>
        </x:is>
      </x:c>
      <x:c r="H152" s="4" t="n">
        <x:v>29300</x:v>
      </x:c>
      <x:c r="I152" s="4" t="n"/>
      <x:c r="J152" s="4">
        <x:f>IF($I152="","",$I152-$H152)</x:f>
      </x:c>
      <x:c r="K152" s="5">
        <x:f>IF($I152="","",($I152-$H152)/$H152)</x:f>
      </x:c>
      <x:c r="L152" s="2">
        <x:f>IF($I152="","Planned",IF($I152&gt;$H152,"Over",IF($I152&lt;$H152,"Under","On plan")))</x:f>
      </x:c>
      <x:c r="M152" s="2">
        <x:f>IF($I152="","",IF(AND($J152&gt;50000,$K152&gt;0.2),"CRITICAL",""))</x:f>
      </x:c>
      <x:c r="N152" s="2" t="inlineStr">
        <x:is>
          <x:t xml:space="preserve">No</x:t>
        </x:is>
      </x:c>
      <x:c r="O152" s="3" t="inlineStr">
        <x:is>
          <x:t xml:space="preserve">факт не заполнен: месяц в плане, ожидаем документы от поставщика</x:t>
        </x:is>
      </x:c>
    </x:row>
    <x:row r="153">
      <x:c r="A153" s="2" t="n">
        <x:v>152</x:v>
      </x:c>
      <x:c r="B153" s="2" t="inlineStr">
        <x:is>
          <x:t xml:space="preserve">PRJ-301</x:t>
        </x:is>
      </x:c>
      <x:c r="C153" s="2" t="inlineStr">
        <x:is>
          <x:t xml:space="preserve">2025-07</x:t>
        </x:is>
      </x:c>
      <x:c r="D153" s="2" t="inlineStr">
        <x:is>
          <x:t xml:space="preserve">Planned</x:t>
        </x:is>
      </x:c>
      <x:c r="E153" s="3" t="inlineStr">
        <x:is>
          <x:t xml:space="preserve">Облако</x:t>
        </x:is>
      </x:c>
      <x:c r="F153" s="3" t="inlineStr">
        <x:is>
          <x:t xml:space="preserve">Облако: CDN/Traffic</x:t>
        </x:is>
      </x:c>
      <x:c r="G153" s="2" t="inlineStr">
        <x:is>
          <x:t xml:space="preserve">DevOps</x:t>
        </x:is>
      </x:c>
      <x:c r="H153" s="4" t="n">
        <x:v>16900</x:v>
      </x:c>
      <x:c r="I153" s="4" t="n"/>
      <x:c r="J153" s="4">
        <x:f>IF($I153="","",$I153-$H153)</x:f>
      </x:c>
      <x:c r="K153" s="5">
        <x:f>IF($I153="","",($I153-$H153)/$H153)</x:f>
      </x:c>
      <x:c r="L153" s="2">
        <x:f>IF($I153="","Planned",IF($I153&gt;$H153,"Over",IF($I153&lt;$H153,"Under","On plan")))</x:f>
      </x:c>
      <x:c r="M153" s="2">
        <x:f>IF($I153="","",IF(AND($J153&gt;50000,$K153&gt;0.2),"CRITICAL",""))</x:f>
      </x:c>
      <x:c r="N153" s="2" t="inlineStr">
        <x:is>
          <x:t xml:space="preserve">No</x:t>
        </x:is>
      </x:c>
      <x:c r="O153" s="3" t="inlineStr">
        <x:is>
          <x:t xml:space="preserve">факт не заполнен: счёт ещё не получен, данные появятся после закрытия месяца</x:t>
        </x:is>
      </x:c>
    </x:row>
    <x:row r="154">
      <x:c r="A154" s="2" t="n">
        <x:v>153</x:v>
      </x:c>
      <x:c r="B154" s="2" t="inlineStr">
        <x:is>
          <x:t xml:space="preserve">PRJ-301</x:t>
        </x:is>
      </x:c>
      <x:c r="C154" s="2" t="inlineStr">
        <x:is>
          <x:t xml:space="preserve">2025-07</x:t>
        </x:is>
      </x:c>
      <x:c r="D154" s="2" t="inlineStr">
        <x:is>
          <x:t xml:space="preserve">Planned</x:t>
        </x:is>
      </x:c>
      <x:c r="E154" s="3" t="inlineStr">
        <x:is>
          <x:t xml:space="preserve">Инфраструктура</x:t>
        </x:is>
      </x:c>
      <x:c r="F154" s="3" t="inlineStr">
        <x:is>
          <x:t xml:space="preserve">CI/CD runners</x:t>
        </x:is>
      </x:c>
      <x:c r="G154" s="2" t="inlineStr">
        <x:is>
          <x:t xml:space="preserve">DevOps</x:t>
        </x:is>
      </x:c>
      <x:c r="H154" s="4" t="n">
        <x:v>15500</x:v>
      </x:c>
      <x:c r="I154" s="4" t="n"/>
      <x:c r="J154" s="4">
        <x:f>IF($I154="","",$I154-$H154)</x:f>
      </x:c>
      <x:c r="K154" s="5">
        <x:f>IF($I154="","",($I154-$H154)/$H154)</x:f>
      </x:c>
      <x:c r="L154" s="2">
        <x:f>IF($I154="","Planned",IF($I154&gt;$H154,"Over",IF($I154&lt;$H154,"Under","On plan")))</x:f>
      </x:c>
      <x:c r="M154" s="2">
        <x:f>IF($I154="","",IF(AND($J154&gt;50000,$K154&gt;0.2),"CRITICAL",""))</x:f>
      </x:c>
      <x:c r="N154" s="2" t="inlineStr">
        <x:is>
          <x:t xml:space="preserve">No</x:t>
        </x:is>
      </x:c>
      <x:c r="O154" s="3" t="inlineStr">
        <x:is>
          <x:t xml:space="preserve">факт не заполнен: расходы запланированы, но оплат ещё не было</x:t>
        </x:is>
      </x:c>
    </x:row>
    <x:row r="155">
      <x:c r="A155" s="2" t="n">
        <x:v>154</x:v>
      </x:c>
      <x:c r="B155" s="2" t="inlineStr">
        <x:is>
          <x:t xml:space="preserve">PRJ-301</x:t>
        </x:is>
      </x:c>
      <x:c r="C155" s="2" t="inlineStr">
        <x:is>
          <x:t xml:space="preserve">2025-07</x:t>
        </x:is>
      </x:c>
      <x:c r="D155" s="2" t="inlineStr">
        <x:is>
          <x:t xml:space="preserve">Planned</x:t>
        </x:is>
      </x:c>
      <x:c r="E155" s="3" t="inlineStr">
        <x:is>
          <x:t xml:space="preserve">Инфраструктура</x:t>
        </x:is>
      </x:c>
      <x:c r="F155" s="3" t="inlineStr">
        <x:is>
          <x:t xml:space="preserve">Мониторинг/логирование</x:t>
        </x:is>
      </x:c>
      <x:c r="G155" s="2" t="inlineStr">
        <x:is>
          <x:t xml:space="preserve">DevOps</x:t>
        </x:is>
      </x:c>
      <x:c r="H155" s="4" t="n">
        <x:v>5000</x:v>
      </x:c>
      <x:c r="I155" s="4" t="n"/>
      <x:c r="J155" s="4">
        <x:f>IF($I155="","",$I155-$H155)</x:f>
      </x:c>
      <x:c r="K155" s="5">
        <x:f>IF($I155="","",($I155-$H155)/$H155)</x:f>
      </x:c>
      <x:c r="L155" s="2">
        <x:f>IF($I155="","Planned",IF($I155&gt;$H155,"Over",IF($I155&lt;$H155,"Under","On plan")))</x:f>
      </x:c>
      <x:c r="M155" s="2">
        <x:f>IF($I155="","",IF(AND($J155&gt;50000,$K155&gt;0.2),"CRITICAL",""))</x:f>
      </x:c>
      <x:c r="N155" s="2" t="inlineStr">
        <x:is>
          <x:t xml:space="preserve">No</x:t>
        </x:is>
      </x:c>
      <x:c r="O155" s="3" t="inlineStr">
        <x:is>
          <x:t xml:space="preserve">факт не заполнен: счёт ещё не получен, данные появятся после закрытия месяца</x:t>
        </x:is>
      </x:c>
    </x:row>
    <x:row r="156">
      <x:c r="A156" s="2" t="n">
        <x:v>155</x:v>
      </x:c>
      <x:c r="B156" s="2" t="inlineStr">
        <x:is>
          <x:t xml:space="preserve">PRJ-301</x:t>
        </x:is>
      </x:c>
      <x:c r="C156" s="2" t="inlineStr">
        <x:is>
          <x:t xml:space="preserve">2025-07</x:t>
        </x:is>
      </x:c>
      <x:c r="D156" s="2" t="inlineStr">
        <x:is>
          <x:t xml:space="preserve">Planned</x:t>
        </x:is>
      </x:c>
      <x:c r="E156" s="3" t="inlineStr">
        <x:is>
          <x:t xml:space="preserve">Инфраструктура</x:t>
        </x:is>
      </x:c>
      <x:c r="F156" s="3" t="inlineStr">
        <x:is>
          <x:t xml:space="preserve">Домен + SSL</x:t>
        </x:is>
      </x:c>
      <x:c r="G156" s="2" t="inlineStr">
        <x:is>
          <x:t xml:space="preserve">Admin</x:t>
        </x:is>
      </x:c>
      <x:c r="H156" s="4" t="n">
        <x:v>6000</x:v>
      </x:c>
      <x:c r="I156" s="4" t="n"/>
      <x:c r="J156" s="4">
        <x:f>IF($I156="","",$I156-$H156)</x:f>
      </x:c>
      <x:c r="K156" s="5">
        <x:f>IF($I156="","",($I156-$H156)/$H156)</x:f>
      </x:c>
      <x:c r="L156" s="2">
        <x:f>IF($I156="","Planned",IF($I156&gt;$H156,"Over",IF($I156&lt;$H156,"Under","On plan")))</x:f>
      </x:c>
      <x:c r="M156" s="2">
        <x:f>IF($I156="","",IF(AND($J156&gt;50000,$K156&gt;0.2),"CRITICAL",""))</x:f>
      </x:c>
      <x:c r="N156" s="2" t="inlineStr">
        <x:is>
          <x:t xml:space="preserve">No</x:t>
        </x:is>
      </x:c>
      <x:c r="O156" s="3" t="inlineStr">
        <x:is>
          <x:t xml:space="preserve">факт не заполнен: месяц в плане, ожидаем документы от поставщика</x:t>
        </x:is>
      </x:c>
    </x:row>
    <x:row r="157">
      <x:c r="A157" s="2" t="n">
        <x:v>156</x:v>
      </x:c>
      <x:c r="B157" s="2" t="inlineStr">
        <x:is>
          <x:t xml:space="preserve">PRJ-301</x:t>
        </x:is>
      </x:c>
      <x:c r="C157" s="2" t="inlineStr">
        <x:is>
          <x:t xml:space="preserve">2025-07</x:t>
        </x:is>
      </x:c>
      <x:c r="D157" s="2" t="inlineStr">
        <x:is>
          <x:t xml:space="preserve">Planned</x:t>
        </x:is>
      </x:c>
      <x:c r="E157" s="3" t="inlineStr">
        <x:is>
          <x:t xml:space="preserve">ПО/Лицензии</x:t>
        </x:is>
      </x:c>
      <x:c r="F157" s="3" t="inlineStr">
        <x:is>
          <x:t xml:space="preserve">Лицензии IDE</x:t>
        </x:is>
      </x:c>
      <x:c r="G157" s="2" t="inlineStr">
        <x:is>
          <x:t xml:space="preserve">Admin</x:t>
        </x:is>
      </x:c>
      <x:c r="H157" s="4" t="n">
        <x:v>6800</x:v>
      </x:c>
      <x:c r="I157" s="4" t="n"/>
      <x:c r="J157" s="4">
        <x:f>IF($I157="","",$I157-$H157)</x:f>
      </x:c>
      <x:c r="K157" s="5">
        <x:f>IF($I157="","",($I157-$H157)/$H157)</x:f>
      </x:c>
      <x:c r="L157" s="2">
        <x:f>IF($I157="","Planned",IF($I157&gt;$H157,"Over",IF($I157&lt;$H157,"Under","On plan")))</x:f>
      </x:c>
      <x:c r="M157" s="2">
        <x:f>IF($I157="","",IF(AND($J157&gt;50000,$K157&gt;0.2),"CRITICAL",""))</x:f>
      </x:c>
      <x:c r="N157" s="2" t="inlineStr">
        <x:is>
          <x:t xml:space="preserve">No</x:t>
        </x:is>
      </x:c>
      <x:c r="O157" s="3" t="inlineStr">
        <x:is>
          <x:t xml:space="preserve">факт не заполнен: месяц в плане, ожидаем документы от поставщика</x:t>
        </x:is>
      </x:c>
    </x:row>
    <x:row r="158">
      <x:c r="A158" s="2" t="n">
        <x:v>157</x:v>
      </x:c>
      <x:c r="B158" s="2" t="inlineStr">
        <x:is>
          <x:t xml:space="preserve">PRJ-301</x:t>
        </x:is>
      </x:c>
      <x:c r="C158" s="2" t="inlineStr">
        <x:is>
          <x:t xml:space="preserve">2025-07</x:t>
        </x:is>
      </x:c>
      <x:c r="D158" s="2" t="inlineStr">
        <x:is>
          <x:t xml:space="preserve">Planned</x:t>
        </x:is>
      </x:c>
      <x:c r="E158" s="3" t="inlineStr">
        <x:is>
          <x:t xml:space="preserve">ПО/Лицензии</x:t>
        </x:is>
      </x:c>
      <x:c r="F158" s="3" t="inlineStr">
        <x:is>
          <x:t xml:space="preserve">Figma/Design tools</x:t>
        </x:is>
      </x:c>
      <x:c r="G158" s="2" t="inlineStr">
        <x:is>
          <x:t xml:space="preserve">Designer</x:t>
        </x:is>
      </x:c>
      <x:c r="H158" s="4" t="n">
        <x:v>9600</x:v>
      </x:c>
      <x:c r="I158" s="4" t="n"/>
      <x:c r="J158" s="4">
        <x:f>IF($I158="","",$I158-$H158)</x:f>
      </x:c>
      <x:c r="K158" s="5">
        <x:f>IF($I158="","",($I158-$H158)/$H158)</x:f>
      </x:c>
      <x:c r="L158" s="2">
        <x:f>IF($I158="","Planned",IF($I158&gt;$H158,"Over",IF($I158&lt;$H158,"Under","On plan")))</x:f>
      </x:c>
      <x:c r="M158" s="2">
        <x:f>IF($I158="","",IF(AND($J158&gt;50000,$K158&gt;0.2),"CRITICAL",""))</x:f>
      </x:c>
      <x:c r="N158" s="2" t="inlineStr">
        <x:is>
          <x:t xml:space="preserve">No</x:t>
        </x:is>
      </x:c>
      <x:c r="O158" s="3" t="inlineStr">
        <x:is>
          <x:t xml:space="preserve">факт не заполнен: счёт ещё не получен, данные появятся после закрытия месяца</x:t>
        </x:is>
      </x:c>
    </x:row>
    <x:row r="159">
      <x:c r="A159" s="2" t="n">
        <x:v>158</x:v>
      </x:c>
      <x:c r="B159" s="2" t="inlineStr">
        <x:is>
          <x:t xml:space="preserve">PRJ-301</x:t>
        </x:is>
      </x:c>
      <x:c r="C159" s="2" t="inlineStr">
        <x:is>
          <x:t xml:space="preserve">2025-07</x:t>
        </x:is>
      </x:c>
      <x:c r="D159" s="2" t="inlineStr">
        <x:is>
          <x:t xml:space="preserve">Planned</x:t>
        </x:is>
      </x:c>
      <x:c r="E159" s="3" t="inlineStr">
        <x:is>
          <x:t xml:space="preserve">ПО/Лицензии</x:t>
        </x:is>
      </x:c>
      <x:c r="F159" s="3" t="inlineStr">
        <x:is>
          <x:t xml:space="preserve">Jira/Confluence</x:t>
        </x:is>
      </x:c>
      <x:c r="G159" s="2" t="inlineStr">
        <x:is>
          <x:t xml:space="preserve">PM</x:t>
        </x:is>
      </x:c>
      <x:c r="H159" s="4" t="n">
        <x:v>7000</x:v>
      </x:c>
      <x:c r="I159" s="4" t="n"/>
      <x:c r="J159" s="4">
        <x:f>IF($I159="","",$I159-$H159)</x:f>
      </x:c>
      <x:c r="K159" s="5">
        <x:f>IF($I159="","",($I159-$H159)/$H159)</x:f>
      </x:c>
      <x:c r="L159" s="2">
        <x:f>IF($I159="","Planned",IF($I159&gt;$H159,"Over",IF($I159&lt;$H159,"Under","On plan")))</x:f>
      </x:c>
      <x:c r="M159" s="2">
        <x:f>IF($I159="","",IF(AND($J159&gt;50000,$K159&gt;0.2),"CRITICAL",""))</x:f>
      </x:c>
      <x:c r="N159" s="2" t="inlineStr">
        <x:is>
          <x:t xml:space="preserve">No</x:t>
        </x:is>
      </x:c>
      <x:c r="O159" s="3" t="inlineStr">
        <x:is>
          <x:t xml:space="preserve">факт не заполнен: счёт ещё не получен, данные появятся после закрытия месяца</x:t>
        </x:is>
      </x:c>
    </x:row>
    <x:row r="160">
      <x:c r="A160" s="2" t="n">
        <x:v>159</x:v>
      </x:c>
      <x:c r="B160" s="2" t="inlineStr">
        <x:is>
          <x:t xml:space="preserve">PRJ-301</x:t>
        </x:is>
      </x:c>
      <x:c r="C160" s="2" t="inlineStr">
        <x:is>
          <x:t xml:space="preserve">2025-07</x:t>
        </x:is>
      </x:c>
      <x:c r="D160" s="2" t="inlineStr">
        <x:is>
          <x:t xml:space="preserve">Planned</x:t>
        </x:is>
      </x:c>
      <x:c r="E160" s="3" t="inlineStr">
        <x:is>
          <x:t xml:space="preserve">ПО/Лицензии</x:t>
        </x:is>
      </x:c>
      <x:c r="F160" s="3" t="inlineStr">
        <x:is>
          <x:t xml:space="preserve">Email/рассылки</x:t>
        </x:is>
      </x:c>
      <x:c r="G160" s="2" t="inlineStr">
        <x:is>
          <x:t xml:space="preserve">Backend</x:t>
        </x:is>
      </x:c>
      <x:c r="H160" s="4" t="n">
        <x:v>16400</x:v>
      </x:c>
      <x:c r="I160" s="4" t="n"/>
      <x:c r="J160" s="4">
        <x:f>IF($I160="","",$I160-$H160)</x:f>
      </x:c>
      <x:c r="K160" s="5">
        <x:f>IF($I160="","",($I160-$H160)/$H160)</x:f>
      </x:c>
      <x:c r="L160" s="2">
        <x:f>IF($I160="","Planned",IF($I160&gt;$H160,"Over",IF($I160&lt;$H160,"Under","On plan")))</x:f>
      </x:c>
      <x:c r="M160" s="2">
        <x:f>IF($I160="","",IF(AND($J160&gt;50000,$K160&gt;0.2),"CRITICAL",""))</x:f>
      </x:c>
      <x:c r="N160" s="2" t="inlineStr">
        <x:is>
          <x:t xml:space="preserve">No</x:t>
        </x:is>
      </x:c>
      <x:c r="O160" s="3" t="inlineStr">
        <x:is>
          <x:t xml:space="preserve">факт не заполнен: счёт ещё не получен, данные появятся после закрытия месяца</x:t>
        </x:is>
      </x:c>
    </x:row>
    <x:row r="161">
      <x:c r="A161" s="2" t="n">
        <x:v>160</x:v>
      </x:c>
      <x:c r="B161" s="2" t="inlineStr">
        <x:is>
          <x:t xml:space="preserve">PRJ-301</x:t>
        </x:is>
      </x:c>
      <x:c r="C161" s="2" t="inlineStr">
        <x:is>
          <x:t xml:space="preserve">2025-07</x:t>
        </x:is>
      </x:c>
      <x:c r="D161" s="2" t="inlineStr">
        <x:is>
          <x:t xml:space="preserve">Planned</x:t>
        </x:is>
      </x:c>
      <x:c r="E161" s="3" t="inlineStr">
        <x:is>
          <x:t xml:space="preserve">Подряд</x:t>
        </x:is>
      </x:c>
      <x:c r="F161" s="3" t="inlineStr">
        <x:is>
          <x:t xml:space="preserve">Подряд: дизайн (иллюстрации)</x:t>
        </x:is>
      </x:c>
      <x:c r="G161" s="2" t="inlineStr">
        <x:is>
          <x:t xml:space="preserve">Designer</x:t>
        </x:is>
      </x:c>
      <x:c r="H161" s="4" t="n">
        <x:v>28800</x:v>
      </x:c>
      <x:c r="I161" s="4" t="n"/>
      <x:c r="J161" s="4">
        <x:f>IF($I161="","",$I161-$H161)</x:f>
      </x:c>
      <x:c r="K161" s="5">
        <x:f>IF($I161="","",($I161-$H161)/$H161)</x:f>
      </x:c>
      <x:c r="L161" s="2">
        <x:f>IF($I161="","Planned",IF($I161&gt;$H161,"Over",IF($I161&lt;$H161,"Under","On plan")))</x:f>
      </x:c>
      <x:c r="M161" s="2">
        <x:f>IF($I161="","",IF(AND($J161&gt;50000,$K161&gt;0.2),"CRITICAL",""))</x:f>
      </x:c>
      <x:c r="N161" s="2" t="inlineStr">
        <x:is>
          <x:t xml:space="preserve">No</x:t>
        </x:is>
      </x:c>
      <x:c r="O161" s="3" t="inlineStr">
        <x:is>
          <x:t xml:space="preserve">факт не заполнен: месяц в плане, ожидаем документы от поставщика</x:t>
        </x:is>
      </x:c>
    </x:row>
    <x:row r="162">
      <x:c r="A162" s="2" t="n">
        <x:v>161</x:v>
      </x:c>
      <x:c r="B162" s="2" t="inlineStr">
        <x:is>
          <x:t xml:space="preserve">PRJ-301</x:t>
        </x:is>
      </x:c>
      <x:c r="C162" s="2" t="inlineStr">
        <x:is>
          <x:t xml:space="preserve">2025-07</x:t>
        </x:is>
      </x:c>
      <x:c r="D162" s="2" t="inlineStr">
        <x:is>
          <x:t xml:space="preserve">Planned</x:t>
        </x:is>
      </x:c>
      <x:c r="E162" s="3" t="inlineStr">
        <x:is>
          <x:t xml:space="preserve">Подряд</x:t>
        </x:is>
      </x:c>
      <x:c r="F162" s="3" t="inlineStr">
        <x:is>
          <x:t xml:space="preserve">Подряд: UX-исследование</x:t>
        </x:is>
      </x:c>
      <x:c r="G162" s="2" t="inlineStr">
        <x:is>
          <x:t xml:space="preserve">Analyst</x:t>
        </x:is>
      </x:c>
      <x:c r="H162" s="4" t="n">
        <x:v>22600</x:v>
      </x:c>
      <x:c r="I162" s="4" t="n"/>
      <x:c r="J162" s="4">
        <x:f>IF($I162="","",$I162-$H162)</x:f>
      </x:c>
      <x:c r="K162" s="5">
        <x:f>IF($I162="","",($I162-$H162)/$H162)</x:f>
      </x:c>
      <x:c r="L162" s="2">
        <x:f>IF($I162="","Planned",IF($I162&gt;$H162,"Over",IF($I162&lt;$H162,"Under","On plan")))</x:f>
      </x:c>
      <x:c r="M162" s="2">
        <x:f>IF($I162="","",IF(AND($J162&gt;50000,$K162&gt;0.2),"CRITICAL",""))</x:f>
      </x:c>
      <x:c r="N162" s="2" t="inlineStr">
        <x:is>
          <x:t xml:space="preserve">No</x:t>
        </x:is>
      </x:c>
      <x:c r="O162" s="3" t="inlineStr">
        <x:is>
          <x:t xml:space="preserve">факт не заполнен: счёт ещё не получен, данные появятся после закрытия месяца</x:t>
        </x:is>
      </x:c>
    </x:row>
    <x:row r="163">
      <x:c r="A163" s="2" t="n">
        <x:v>162</x:v>
      </x:c>
      <x:c r="B163" s="2" t="inlineStr">
        <x:is>
          <x:t xml:space="preserve">PRJ-301</x:t>
        </x:is>
      </x:c>
      <x:c r="C163" s="2" t="inlineStr">
        <x:is>
          <x:t xml:space="preserve">2025-07</x:t>
        </x:is>
      </x:c>
      <x:c r="D163" s="2" t="inlineStr">
        <x:is>
          <x:t xml:space="preserve">Planned</x:t>
        </x:is>
      </x:c>
      <x:c r="E163" s="3" t="inlineStr">
        <x:is>
          <x:t xml:space="preserve">Подряд</x:t>
        </x:is>
      </x:c>
      <x:c r="F163" s="3" t="inlineStr">
        <x:is>
          <x:t xml:space="preserve">Подряд: аналитика/BI</x:t>
        </x:is>
      </x:c>
      <x:c r="G163" s="2" t="inlineStr">
        <x:is>
          <x:t xml:space="preserve">Analyst</x:t>
        </x:is>
      </x:c>
      <x:c r="H163" s="4" t="n">
        <x:v>34300</x:v>
      </x:c>
      <x:c r="I163" s="4" t="n"/>
      <x:c r="J163" s="4">
        <x:f>IF($I163="","",$I163-$H163)</x:f>
      </x:c>
      <x:c r="K163" s="5">
        <x:f>IF($I163="","",($I163-$H163)/$H163)</x:f>
      </x:c>
      <x:c r="L163" s="2">
        <x:f>IF($I163="","Planned",IF($I163&gt;$H163,"Over",IF($I163&lt;$H163,"Under","On plan")))</x:f>
      </x:c>
      <x:c r="M163" s="2">
        <x:f>IF($I163="","",IF(AND($J163&gt;50000,$K163&gt;0.2),"CRITICAL",""))</x:f>
      </x:c>
      <x:c r="N163" s="2" t="inlineStr">
        <x:is>
          <x:t xml:space="preserve">No</x:t>
        </x:is>
      </x:c>
      <x:c r="O163" s="3" t="inlineStr">
        <x:is>
          <x:t xml:space="preserve">факт не заполнен: счёт ещё не получен, данные появятся после закрытия месяца</x:t>
        </x:is>
      </x:c>
    </x:row>
    <x:row r="164">
      <x:c r="A164" s="2" t="n">
        <x:v>163</x:v>
      </x:c>
      <x:c r="B164" s="2" t="inlineStr">
        <x:is>
          <x:t xml:space="preserve">PRJ-301</x:t>
        </x:is>
      </x:c>
      <x:c r="C164" s="2" t="inlineStr">
        <x:is>
          <x:t xml:space="preserve">2025-07</x:t>
        </x:is>
      </x:c>
      <x:c r="D164" s="2" t="inlineStr">
        <x:is>
          <x:t xml:space="preserve">Planned</x:t>
        </x:is>
      </x:c>
      <x:c r="E164" s="3" t="inlineStr">
        <x:is>
          <x:t xml:space="preserve">Подряд</x:t>
        </x:is>
      </x:c>
      <x:c r="F164" s="3" t="inlineStr">
        <x:is>
          <x:t xml:space="preserve">Подряд: разработка (внешние)</x:t>
        </x:is>
      </x:c>
      <x:c r="G164" s="2" t="inlineStr">
        <x:is>
          <x:t xml:space="preserve">Team Lead</x:t>
        </x:is>
      </x:c>
      <x:c r="H164" s="4" t="n">
        <x:v>143000</x:v>
      </x:c>
      <x:c r="I164" s="4" t="n"/>
      <x:c r="J164" s="4">
        <x:f>IF($I164="","",$I164-$H164)</x:f>
      </x:c>
      <x:c r="K164" s="5">
        <x:f>IF($I164="","",($I164-$H164)/$H164)</x:f>
      </x:c>
      <x:c r="L164" s="2">
        <x:f>IF($I164="","Planned",IF($I164&gt;$H164,"Over",IF($I164&lt;$H164,"Under","On plan")))</x:f>
      </x:c>
      <x:c r="M164" s="2">
        <x:f>IF($I164="","",IF(AND($J164&gt;50000,$K164&gt;0.2),"CRITICAL",""))</x:f>
      </x:c>
      <x:c r="N164" s="2" t="inlineStr">
        <x:is>
          <x:t xml:space="preserve">No</x:t>
        </x:is>
      </x:c>
      <x:c r="O164" s="3" t="inlineStr">
        <x:is>
          <x:t xml:space="preserve">факт не заполнен: расходы запланированы, но оплат ещё не было</x:t>
        </x:is>
      </x:c>
    </x:row>
    <x:row r="165">
      <x:c r="A165" s="2" t="n">
        <x:v>164</x:v>
      </x:c>
      <x:c r="B165" s="2" t="inlineStr">
        <x:is>
          <x:t xml:space="preserve">PRJ-301</x:t>
        </x:is>
      </x:c>
      <x:c r="C165" s="2" t="inlineStr">
        <x:is>
          <x:t xml:space="preserve">2025-07</x:t>
        </x:is>
      </x:c>
      <x:c r="D165" s="2" t="inlineStr">
        <x:is>
          <x:t xml:space="preserve">Planned</x:t>
        </x:is>
      </x:c>
      <x:c r="E165" s="3" t="inlineStr">
        <x:is>
          <x:t xml:space="preserve">Маркетинг</x:t>
        </x:is>
      </x:c>
      <x:c r="F165" s="3" t="inlineStr">
        <x:is>
          <x:t xml:space="preserve">Маркетинг: лендинг</x:t>
        </x:is>
      </x:c>
      <x:c r="G165" s="2" t="inlineStr">
        <x:is>
          <x:t xml:space="preserve">Marketing</x:t>
        </x:is>
      </x:c>
      <x:c r="H165" s="4" t="n">
        <x:v>34000</x:v>
      </x:c>
      <x:c r="I165" s="4" t="n"/>
      <x:c r="J165" s="4">
        <x:f>IF($I165="","",$I165-$H165)</x:f>
      </x:c>
      <x:c r="K165" s="5">
        <x:f>IF($I165="","",($I165-$H165)/$H165)</x:f>
      </x:c>
      <x:c r="L165" s="2">
        <x:f>IF($I165="","Planned",IF($I165&gt;$H165,"Over",IF($I165&lt;$H165,"Under","On plan")))</x:f>
      </x:c>
      <x:c r="M165" s="2">
        <x:f>IF($I165="","",IF(AND($J165&gt;50000,$K165&gt;0.2),"CRITICAL",""))</x:f>
      </x:c>
      <x:c r="N165" s="2" t="inlineStr">
        <x:is>
          <x:t xml:space="preserve">No</x:t>
        </x:is>
      </x:c>
      <x:c r="O165" s="3" t="inlineStr">
        <x:is>
          <x:t xml:space="preserve">факт не заполнен: счёт ещё не получен, данные появятся после закрытия месяца</x:t>
        </x:is>
      </x:c>
    </x:row>
    <x:row r="166">
      <x:c r="A166" s="2" t="n">
        <x:v>165</x:v>
      </x:c>
      <x:c r="B166" s="2" t="inlineStr">
        <x:is>
          <x:t xml:space="preserve">PRJ-301</x:t>
        </x:is>
      </x:c>
      <x:c r="C166" s="2" t="inlineStr">
        <x:is>
          <x:t xml:space="preserve">2025-07</x:t>
        </x:is>
      </x:c>
      <x:c r="D166" s="2" t="inlineStr">
        <x:is>
          <x:t xml:space="preserve">Planned</x:t>
        </x:is>
      </x:c>
      <x:c r="E166" s="3" t="inlineStr">
        <x:is>
          <x:t xml:space="preserve">Маркетинг</x:t>
        </x:is>
      </x:c>
      <x:c r="F166" s="3" t="inlineStr">
        <x:is>
          <x:t xml:space="preserve">Маркетинг: реклама (контекст)</x:t>
        </x:is>
      </x:c>
      <x:c r="G166" s="2" t="inlineStr">
        <x:is>
          <x:t xml:space="preserve">Marketing</x:t>
        </x:is>
      </x:c>
      <x:c r="H166" s="4" t="n">
        <x:v>17100</x:v>
      </x:c>
      <x:c r="I166" s="4" t="n"/>
      <x:c r="J166" s="4">
        <x:f>IF($I166="","",$I166-$H166)</x:f>
      </x:c>
      <x:c r="K166" s="5">
        <x:f>IF($I166="","",($I166-$H166)/$H166)</x:f>
      </x:c>
      <x:c r="L166" s="2">
        <x:f>IF($I166="","Planned",IF($I166&gt;$H166,"Over",IF($I166&lt;$H166,"Under","On plan")))</x:f>
      </x:c>
      <x:c r="M166" s="2">
        <x:f>IF($I166="","",IF(AND($J166&gt;50000,$K166&gt;0.2),"CRITICAL",""))</x:f>
      </x:c>
      <x:c r="N166" s="2" t="inlineStr">
        <x:is>
          <x:t xml:space="preserve">No</x:t>
        </x:is>
      </x:c>
      <x:c r="O166" s="3" t="inlineStr">
        <x:is>
          <x:t xml:space="preserve">факт не заполнен: месяц в плане, ожидаем документы от поставщика</x:t>
        </x:is>
      </x:c>
    </x:row>
    <x:row r="167">
      <x:c r="A167" s="2" t="n">
        <x:v>166</x:v>
      </x:c>
      <x:c r="B167" s="2" t="inlineStr">
        <x:is>
          <x:t xml:space="preserve">PRJ-301</x:t>
        </x:is>
      </x:c>
      <x:c r="C167" s="2" t="inlineStr">
        <x:is>
          <x:t xml:space="preserve">2025-07</x:t>
        </x:is>
      </x:c>
      <x:c r="D167" s="2" t="inlineStr">
        <x:is>
          <x:t xml:space="preserve">Planned</x:t>
        </x:is>
      </x:c>
      <x:c r="E167" s="3" t="inlineStr">
        <x:is>
          <x:t xml:space="preserve">Маркетинг</x:t>
        </x:is>
      </x:c>
      <x:c r="F167" s="3" t="inlineStr">
        <x:is>
          <x:t xml:space="preserve">Маркетинг: контент/копирайт</x:t>
        </x:is>
      </x:c>
      <x:c r="G167" s="2" t="inlineStr">
        <x:is>
          <x:t xml:space="preserve">Marketing</x:t>
        </x:is>
      </x:c>
      <x:c r="H167" s="4" t="n">
        <x:v>8900</x:v>
      </x:c>
      <x:c r="I167" s="4" t="n"/>
      <x:c r="J167" s="4">
        <x:f>IF($I167="","",$I167-$H167)</x:f>
      </x:c>
      <x:c r="K167" s="5">
        <x:f>IF($I167="","",($I167-$H167)/$H167)</x:f>
      </x:c>
      <x:c r="L167" s="2">
        <x:f>IF($I167="","Planned",IF($I167&gt;$H167,"Over",IF($I167&lt;$H167,"Under","On plan")))</x:f>
      </x:c>
      <x:c r="M167" s="2">
        <x:f>IF($I167="","",IF(AND($J167&gt;50000,$K167&gt;0.2),"CRITICAL",""))</x:f>
      </x:c>
      <x:c r="N167" s="2" t="inlineStr">
        <x:is>
          <x:t xml:space="preserve">No</x:t>
        </x:is>
      </x:c>
      <x:c r="O167" s="3" t="inlineStr">
        <x:is>
          <x:t xml:space="preserve">факт не заполнен: расходы запланированы, но оплат ещё не было</x:t>
        </x:is>
      </x:c>
    </x:row>
    <x:row r="168">
      <x:c r="A168" s="2" t="n">
        <x:v>167</x:v>
      </x:c>
      <x:c r="B168" s="2" t="inlineStr">
        <x:is>
          <x:t xml:space="preserve">PRJ-301</x:t>
        </x:is>
      </x:c>
      <x:c r="C168" s="2" t="inlineStr">
        <x:is>
          <x:t xml:space="preserve">2025-07</x:t>
        </x:is>
      </x:c>
      <x:c r="D168" s="2" t="inlineStr">
        <x:is>
          <x:t xml:space="preserve">Planned</x:t>
        </x:is>
      </x:c>
      <x:c r="E168" s="3" t="inlineStr">
        <x:is>
          <x:t xml:space="preserve">Железо</x:t>
        </x:is>
      </x:c>
      <x:c r="F168" s="3" t="inlineStr">
        <x:is>
          <x:t xml:space="preserve">Тестовые устройства (QA)</x:t>
        </x:is>
      </x:c>
      <x:c r="G168" s="2" t="inlineStr">
        <x:is>
          <x:t xml:space="preserve">QA</x:t>
        </x:is>
      </x:c>
      <x:c r="H168" s="4" t="n">
        <x:v>65500</x:v>
      </x:c>
      <x:c r="I168" s="4" t="n"/>
      <x:c r="J168" s="4">
        <x:f>IF($I168="","",$I168-$H168)</x:f>
      </x:c>
      <x:c r="K168" s="5">
        <x:f>IF($I168="","",($I168-$H168)/$H168)</x:f>
      </x:c>
      <x:c r="L168" s="2">
        <x:f>IF($I168="","Planned",IF($I168&gt;$H168,"Over",IF($I168&lt;$H168,"Under","On plan")))</x:f>
      </x:c>
      <x:c r="M168" s="2">
        <x:f>IF($I168="","",IF(AND($J168&gt;50000,$K168&gt;0.2),"CRITICAL",""))</x:f>
      </x:c>
      <x:c r="N168" s="2" t="inlineStr">
        <x:is>
          <x:t xml:space="preserve">No</x:t>
        </x:is>
      </x:c>
      <x:c r="O168" s="3" t="inlineStr">
        <x:is>
          <x:t xml:space="preserve">факт не заполнен: ожидается счёт/акт, поэтому пока только план</x:t>
        </x:is>
      </x:c>
    </x:row>
    <x:row r="169">
      <x:c r="A169" s="2" t="n">
        <x:v>168</x:v>
      </x:c>
      <x:c r="B169" s="2" t="inlineStr">
        <x:is>
          <x:t xml:space="preserve">PRJ-301</x:t>
        </x:is>
      </x:c>
      <x:c r="C169" s="2" t="inlineStr">
        <x:is>
          <x:t xml:space="preserve">2025-07</x:t>
        </x:is>
      </x:c>
      <x:c r="D169" s="2" t="inlineStr">
        <x:is>
          <x:t xml:space="preserve">Planned</x:t>
        </x:is>
      </x:c>
      <x:c r="E169" s="3" t="inlineStr">
        <x:is>
          <x:t xml:space="preserve">Железо</x:t>
        </x:is>
      </x:c>
      <x:c r="F169" s="3" t="inlineStr">
        <x:is>
          <x:t xml:space="preserve">Сервер/мини-ПК для стенда</x:t>
        </x:is>
      </x:c>
      <x:c r="G169" s="2" t="inlineStr">
        <x:is>
          <x:t xml:space="preserve">DevOps</x:t>
        </x:is>
      </x:c>
      <x:c r="H169" s="4" t="n">
        <x:v>29500</x:v>
      </x:c>
      <x:c r="I169" s="4" t="n"/>
      <x:c r="J169" s="4">
        <x:f>IF($I169="","",$I169-$H169)</x:f>
      </x:c>
      <x:c r="K169" s="5">
        <x:f>IF($I169="","",($I169-$H169)/$H169)</x:f>
      </x:c>
      <x:c r="L169" s="2">
        <x:f>IF($I169="","Planned",IF($I169&gt;$H169,"Over",IF($I169&lt;$H169,"Under","On plan")))</x:f>
      </x:c>
      <x:c r="M169" s="2">
        <x:f>IF($I169="","",IF(AND($J169&gt;50000,$K169&gt;0.2),"CRITICAL",""))</x:f>
      </x:c>
      <x:c r="N169" s="2" t="inlineStr">
        <x:is>
          <x:t xml:space="preserve">No</x:t>
        </x:is>
      </x:c>
      <x:c r="O169" s="3" t="inlineStr">
        <x:is>
          <x:t xml:space="preserve">факт не заполнен: месяц в плане, ожидаем документы от поставщика</x:t>
        </x:is>
      </x:c>
    </x:row>
    <x:row r="170">
      <x:c r="A170" s="2" t="n">
        <x:v>169</x:v>
      </x:c>
      <x:c r="B170" s="2" t="inlineStr">
        <x:is>
          <x:t xml:space="preserve">PRJ-301</x:t>
        </x:is>
      </x:c>
      <x:c r="C170" s="2" t="inlineStr">
        <x:is>
          <x:t xml:space="preserve">2025-07</x:t>
        </x:is>
      </x:c>
      <x:c r="D170" s="2" t="inlineStr">
        <x:is>
          <x:t xml:space="preserve">Planned</x:t>
        </x:is>
      </x:c>
      <x:c r="E170" s="3" t="inlineStr">
        <x:is>
          <x:t xml:space="preserve">Железо</x:t>
        </x:is>
      </x:c>
      <x:c r="F170" s="3" t="inlineStr">
        <x:is>
          <x:t xml:space="preserve">Периферия (кабели/адаптеры)</x:t>
        </x:is>
      </x:c>
      <x:c r="G170" s="2" t="inlineStr">
        <x:is>
          <x:t xml:space="preserve">DevOps</x:t>
        </x:is>
      </x:c>
      <x:c r="H170" s="4" t="n">
        <x:v>16800</x:v>
      </x:c>
      <x:c r="I170" s="4" t="n"/>
      <x:c r="J170" s="4">
        <x:f>IF($I170="","",$I170-$H170)</x:f>
      </x:c>
      <x:c r="K170" s="5">
        <x:f>IF($I170="","",($I170-$H170)/$H170)</x:f>
      </x:c>
      <x:c r="L170" s="2">
        <x:f>IF($I170="","Planned",IF($I170&gt;$H170,"Over",IF($I170&lt;$H170,"Under","On plan")))</x:f>
      </x:c>
      <x:c r="M170" s="2">
        <x:f>IF($I170="","",IF(AND($J170&gt;50000,$K170&gt;0.2),"CRITICAL",""))</x:f>
      </x:c>
      <x:c r="N170" s="2" t="inlineStr">
        <x:is>
          <x:t xml:space="preserve">No</x:t>
        </x:is>
      </x:c>
      <x:c r="O170" s="3" t="inlineStr">
        <x:is>
          <x:t xml:space="preserve">факт не заполнен: месяц в плане, ожидаем документы от поставщика</x:t>
        </x:is>
      </x:c>
    </x:row>
    <x:row r="171">
      <x:c r="A171" s="2" t="n">
        <x:v>170</x:v>
      </x:c>
      <x:c r="B171" s="2" t="inlineStr">
        <x:is>
          <x:t xml:space="preserve">PRJ-301</x:t>
        </x:is>
      </x:c>
      <x:c r="C171" s="2" t="inlineStr">
        <x:is>
          <x:t xml:space="preserve">2025-07</x:t>
        </x:is>
      </x:c>
      <x:c r="D171" s="2" t="inlineStr">
        <x:is>
          <x:t xml:space="preserve">Planned</x:t>
        </x:is>
      </x:c>
      <x:c r="E171" s="3" t="inlineStr">
        <x:is>
          <x:t xml:space="preserve">Данные</x:t>
        </x:is>
      </x:c>
      <x:c r="F171" s="3" t="inlineStr">
        <x:is>
          <x:t xml:space="preserve">Покупка датасета/доступ</x:t>
        </x:is>
      </x:c>
      <x:c r="G171" s="2" t="inlineStr">
        <x:is>
          <x:t xml:space="preserve">Analyst</x:t>
        </x:is>
      </x:c>
      <x:c r="H171" s="4" t="n">
        <x:v>43800</x:v>
      </x:c>
      <x:c r="I171" s="4" t="n"/>
      <x:c r="J171" s="4">
        <x:f>IF($I171="","",$I171-$H171)</x:f>
      </x:c>
      <x:c r="K171" s="5">
        <x:f>IF($I171="","",($I171-$H171)/$H171)</x:f>
      </x:c>
      <x:c r="L171" s="2">
        <x:f>IF($I171="","Planned",IF($I171&gt;$H171,"Over",IF($I171&lt;$H171,"Under","On plan")))</x:f>
      </x:c>
      <x:c r="M171" s="2">
        <x:f>IF($I171="","",IF(AND($J171&gt;50000,$K171&gt;0.2),"CRITICAL",""))</x:f>
      </x:c>
      <x:c r="N171" s="2" t="inlineStr">
        <x:is>
          <x:t xml:space="preserve">No</x:t>
        </x:is>
      </x:c>
      <x:c r="O171" s="3" t="inlineStr">
        <x:is>
          <x:t xml:space="preserve">факт не заполнен: ожидается счёт/акт, поэтому пока только план</x:t>
        </x:is>
      </x:c>
    </x:row>
    <x:row r="172">
      <x:c r="A172" s="2" t="n">
        <x:v>171</x:v>
      </x:c>
      <x:c r="B172" s="2" t="inlineStr">
        <x:is>
          <x:t xml:space="preserve">PRJ-301</x:t>
        </x:is>
      </x:c>
      <x:c r="C172" s="2" t="inlineStr">
        <x:is>
          <x:t xml:space="preserve">2025-07</x:t>
        </x:is>
      </x:c>
      <x:c r="D172" s="2" t="inlineStr">
        <x:is>
          <x:t xml:space="preserve">Planned</x:t>
        </x:is>
      </x:c>
      <x:c r="E172" s="3" t="inlineStr">
        <x:is>
          <x:t xml:space="preserve">Данные</x:t>
        </x:is>
      </x:c>
      <x:c r="F172" s="3" t="inlineStr">
        <x:is>
          <x:t xml:space="preserve">Разметка данных (аутсорс)</x:t>
        </x:is>
      </x:c>
      <x:c r="G172" s="2" t="inlineStr">
        <x:is>
          <x:t xml:space="preserve">Analyst</x:t>
        </x:is>
      </x:c>
      <x:c r="H172" s="4" t="n">
        <x:v>23500</x:v>
      </x:c>
      <x:c r="I172" s="4" t="n"/>
      <x:c r="J172" s="4">
        <x:f>IF($I172="","",$I172-$H172)</x:f>
      </x:c>
      <x:c r="K172" s="5">
        <x:f>IF($I172="","",($I172-$H172)/$H172)</x:f>
      </x:c>
      <x:c r="L172" s="2">
        <x:f>IF($I172="","Planned",IF($I172&gt;$H172,"Over",IF($I172&lt;$H172,"Under","On plan")))</x:f>
      </x:c>
      <x:c r="M172" s="2">
        <x:f>IF($I172="","",IF(AND($J172&gt;50000,$K172&gt;0.2),"CRITICAL",""))</x:f>
      </x:c>
      <x:c r="N172" s="2" t="inlineStr">
        <x:is>
          <x:t xml:space="preserve">No</x:t>
        </x:is>
      </x:c>
      <x:c r="O172" s="3" t="inlineStr">
        <x:is>
          <x:t xml:space="preserve">факт не заполнен: месяц в плане, ожидаем документы от поставщика</x:t>
        </x:is>
      </x:c>
    </x:row>
    <x:row r="173">
      <x:c r="A173" s="2" t="n">
        <x:v>172</x:v>
      </x:c>
      <x:c r="B173" s="2" t="inlineStr">
        <x:is>
          <x:t xml:space="preserve">PRJ-301</x:t>
        </x:is>
      </x:c>
      <x:c r="C173" s="2" t="inlineStr">
        <x:is>
          <x:t xml:space="preserve">2025-07</x:t>
        </x:is>
      </x:c>
      <x:c r="D173" s="2" t="inlineStr">
        <x:is>
          <x:t xml:space="preserve">Planned</x:t>
        </x:is>
      </x:c>
      <x:c r="E173" s="3" t="inlineStr">
        <x:is>
          <x:t xml:space="preserve">Юридическое</x:t>
        </x:is>
      </x:c>
      <x:c r="F173" s="3" t="inlineStr">
        <x:is>
          <x:t xml:space="preserve">Договоры/юридическая проверка</x:t>
        </x:is>
      </x:c>
      <x:c r="G173" s="2" t="inlineStr">
        <x:is>
          <x:t xml:space="preserve">PM</x:t>
        </x:is>
      </x:c>
      <x:c r="H173" s="4" t="n">
        <x:v>8400</x:v>
      </x:c>
      <x:c r="I173" s="4" t="n"/>
      <x:c r="J173" s="4">
        <x:f>IF($I173="","",$I173-$H173)</x:f>
      </x:c>
      <x:c r="K173" s="5">
        <x:f>IF($I173="","",($I173-$H173)/$H173)</x:f>
      </x:c>
      <x:c r="L173" s="2">
        <x:f>IF($I173="","Planned",IF($I173&gt;$H173,"Over",IF($I173&lt;$H173,"Under","On plan")))</x:f>
      </x:c>
      <x:c r="M173" s="2">
        <x:f>IF($I173="","",IF(AND($J173&gt;50000,$K173&gt;0.2),"CRITICAL",""))</x:f>
      </x:c>
      <x:c r="N173" s="2" t="inlineStr">
        <x:is>
          <x:t xml:space="preserve">No</x:t>
        </x:is>
      </x:c>
      <x:c r="O173" s="3" t="inlineStr">
        <x:is>
          <x:t xml:space="preserve">факт не заполнен: ожидается счёт/акт, поэтому пока только план</x:t>
        </x:is>
      </x:c>
    </x:row>
    <x:row r="174">
      <x:c r="A174" s="2" t="n">
        <x:v>173</x:v>
      </x:c>
      <x:c r="B174" s="2" t="inlineStr">
        <x:is>
          <x:t xml:space="preserve">PRJ-301</x:t>
        </x:is>
      </x:c>
      <x:c r="C174" s="2" t="inlineStr">
        <x:is>
          <x:t xml:space="preserve">2025-07</x:t>
        </x:is>
      </x:c>
      <x:c r="D174" s="2" t="inlineStr">
        <x:is>
          <x:t xml:space="preserve">Planned</x:t>
        </x:is>
      </x:c>
      <x:c r="E174" s="3" t="inlineStr">
        <x:is>
          <x:t xml:space="preserve">Команда</x:t>
        </x:is>
      </x:c>
      <x:c r="F174" s="3" t="inlineStr">
        <x:is>
          <x:t xml:space="preserve">Обучение/курсы</x:t>
        </x:is>
      </x:c>
      <x:c r="G174" s="2" t="inlineStr">
        <x:is>
          <x:t xml:space="preserve">PM</x:t>
        </x:is>
      </x:c>
      <x:c r="H174" s="4" t="n">
        <x:v>39500</x:v>
      </x:c>
      <x:c r="I174" s="4" t="n"/>
      <x:c r="J174" s="4">
        <x:f>IF($I174="","",$I174-$H174)</x:f>
      </x:c>
      <x:c r="K174" s="5">
        <x:f>IF($I174="","",($I174-$H174)/$H174)</x:f>
      </x:c>
      <x:c r="L174" s="2">
        <x:f>IF($I174="","Planned",IF($I174&gt;$H174,"Over",IF($I174&lt;$H174,"Under","On plan")))</x:f>
      </x:c>
      <x:c r="M174" s="2">
        <x:f>IF($I174="","",IF(AND($J174&gt;50000,$K174&gt;0.2),"CRITICAL",""))</x:f>
      </x:c>
      <x:c r="N174" s="2" t="inlineStr">
        <x:is>
          <x:t xml:space="preserve">No</x:t>
        </x:is>
      </x:c>
      <x:c r="O174" s="3" t="inlineStr">
        <x:is>
          <x:t xml:space="preserve">факт не заполнен: ожидается счёт/акт, поэтому пока только план</x:t>
        </x:is>
      </x:c>
    </x:row>
    <x:row r="175">
      <x:c r="A175" s="2" t="n">
        <x:v>174</x:v>
      </x:c>
      <x:c r="B175" s="2" t="inlineStr">
        <x:is>
          <x:t xml:space="preserve">PRJ-301</x:t>
        </x:is>
      </x:c>
      <x:c r="C175" s="2" t="inlineStr">
        <x:is>
          <x:t xml:space="preserve">2025-07</x:t>
        </x:is>
      </x:c>
      <x:c r="D175" s="2" t="inlineStr">
        <x:is>
          <x:t xml:space="preserve">Planned</x:t>
        </x:is>
      </x:c>
      <x:c r="E175" s="3" t="inlineStr">
        <x:is>
          <x:t xml:space="preserve">Команда</x:t>
        </x:is>
      </x:c>
      <x:c r="F175" s="3" t="inlineStr">
        <x:is>
          <x:t xml:space="preserve">Мероприятия/конференции</x:t>
        </x:is>
      </x:c>
      <x:c r="G175" s="2" t="inlineStr">
        <x:is>
          <x:t xml:space="preserve">PM</x:t>
        </x:is>
      </x:c>
      <x:c r="H175" s="4" t="n">
        <x:v>29300</x:v>
      </x:c>
      <x:c r="I175" s="4" t="n"/>
      <x:c r="J175" s="4">
        <x:f>IF($I175="","",$I175-$H175)</x:f>
      </x:c>
      <x:c r="K175" s="5">
        <x:f>IF($I175="","",($I175-$H175)/$H175)</x:f>
      </x:c>
      <x:c r="L175" s="2">
        <x:f>IF($I175="","Planned",IF($I175&gt;$H175,"Over",IF($I175&lt;$H175,"Under","On plan")))</x:f>
      </x:c>
      <x:c r="M175" s="2">
        <x:f>IF($I175="","",IF(AND($J175&gt;50000,$K175&gt;0.2),"CRITICAL",""))</x:f>
      </x:c>
      <x:c r="N175" s="2" t="inlineStr">
        <x:is>
          <x:t xml:space="preserve">No</x:t>
        </x:is>
      </x:c>
      <x:c r="O175" s="3" t="inlineStr">
        <x:is>
          <x:t xml:space="preserve">факт не заполнен: месяц в плане, ожидаем документы от поставщика</x:t>
        </x:is>
      </x:c>
    </x:row>
    <x:row r="176">
      <x:c r="A176" s="2" t="n">
        <x:v>175</x:v>
      </x:c>
      <x:c r="B176" s="2" t="inlineStr">
        <x:is>
          <x:t xml:space="preserve">PRJ-301</x:t>
        </x:is>
      </x:c>
      <x:c r="C176" s="2" t="inlineStr">
        <x:is>
          <x:t xml:space="preserve">2025-07</x:t>
        </x:is>
      </x:c>
      <x:c r="D176" s="2" t="inlineStr">
        <x:is>
          <x:t xml:space="preserve">Planned</x:t>
        </x:is>
      </x:c>
      <x:c r="E176" s="3" t="inlineStr">
        <x:is>
          <x:t xml:space="preserve">Команда</x:t>
        </x:is>
      </x:c>
      <x:c r="F176" s="3" t="inlineStr">
        <x:is>
          <x:t xml:space="preserve">Командировки/проезд</x:t>
        </x:is>
      </x:c>
      <x:c r="G176" s="2" t="inlineStr">
        <x:is>
          <x:t xml:space="preserve">PM</x:t>
        </x:is>
      </x:c>
      <x:c r="H176" s="4" t="n">
        <x:v>24100</x:v>
      </x:c>
      <x:c r="I176" s="4" t="n"/>
      <x:c r="J176" s="4">
        <x:f>IF($I176="","",$I176-$H176)</x:f>
      </x:c>
      <x:c r="K176" s="5">
        <x:f>IF($I176="","",($I176-$H176)/$H176)</x:f>
      </x:c>
      <x:c r="L176" s="2">
        <x:f>IF($I176="","Planned",IF($I176&gt;$H176,"Over",IF($I176&lt;$H176,"Under","On plan")))</x:f>
      </x:c>
      <x:c r="M176" s="2">
        <x:f>IF($I176="","",IF(AND($J176&gt;50000,$K176&gt;0.2),"CRITICAL",""))</x:f>
      </x:c>
      <x:c r="N176" s="2" t="inlineStr">
        <x:is>
          <x:t xml:space="preserve">No</x:t>
        </x:is>
      </x:c>
      <x:c r="O176" s="3" t="inlineStr">
        <x:is>
          <x:t xml:space="preserve">факт не заполнен: счёт ещё не получен, данные появятся после закрытия месяца</x:t>
        </x:is>
      </x:c>
    </x:row>
    <x:row r="177">
      <x:c r="A177" s="2" t="n">
        <x:v>176</x:v>
      </x:c>
      <x:c r="B177" s="2" t="inlineStr">
        <x:is>
          <x:t xml:space="preserve">PRJ-301</x:t>
        </x:is>
      </x:c>
      <x:c r="C177" s="2" t="inlineStr">
        <x:is>
          <x:t xml:space="preserve">2025-08</x:t>
        </x:is>
      </x:c>
      <x:c r="D177" s="2" t="inlineStr">
        <x:is>
          <x:t xml:space="preserve">Planned</x:t>
        </x:is>
      </x:c>
      <x:c r="E177" s="3" t="inlineStr">
        <x:is>
          <x:t xml:space="preserve">ПО/Лицензии</x:t>
        </x:is>
      </x:c>
      <x:c r="F177" s="3" t="inlineStr">
        <x:is>
          <x:t xml:space="preserve">Jira/Confluence</x:t>
        </x:is>
      </x:c>
      <x:c r="G177" s="2" t="inlineStr">
        <x:is>
          <x:t xml:space="preserve">PM</x:t>
        </x:is>
      </x:c>
      <x:c r="H177" s="4" t="n">
        <x:v>10300</x:v>
      </x:c>
      <x:c r="I177" s="4" t="n"/>
      <x:c r="J177" s="4">
        <x:f>IF($I177="","",$I177-$H177)</x:f>
      </x:c>
      <x:c r="K177" s="5">
        <x:f>IF($I177="","",($I177-$H177)/$H177)</x:f>
      </x:c>
      <x:c r="L177" s="2">
        <x:f>IF($I177="","Planned",IF($I177&gt;$H177,"Over",IF($I177&lt;$H177,"Under","On plan")))</x:f>
      </x:c>
      <x:c r="M177" s="2">
        <x:f>IF($I177="","",IF(AND($J177&gt;50000,$K177&gt;0.2),"CRITICAL",""))</x:f>
      </x:c>
      <x:c r="N177" s="2" t="inlineStr">
        <x:is>
          <x:t xml:space="preserve">No</x:t>
        </x:is>
      </x:c>
      <x:c r="O177" s="3" t="inlineStr">
        <x:is>
          <x:t xml:space="preserve">факт не заполнен: счёт ещё не получен, данные появятся после закрытия месяца</x:t>
        </x:is>
      </x:c>
    </x:row>
    <x:row r="178">
      <x:c r="A178" s="2" t="n">
        <x:v>177</x:v>
      </x:c>
      <x:c r="B178" s="2" t="inlineStr">
        <x:is>
          <x:t xml:space="preserve">PRJ-301</x:t>
        </x:is>
      </x:c>
      <x:c r="C178" s="2" t="inlineStr">
        <x:is>
          <x:t xml:space="preserve">2025-08</x:t>
        </x:is>
      </x:c>
      <x:c r="D178" s="2" t="inlineStr">
        <x:is>
          <x:t xml:space="preserve">Planned</x:t>
        </x:is>
      </x:c>
      <x:c r="E178" s="3" t="inlineStr">
        <x:is>
          <x:t xml:space="preserve">ПО/Лицензии</x:t>
        </x:is>
      </x:c>
      <x:c r="F178" s="3" t="inlineStr">
        <x:is>
          <x:t xml:space="preserve">Email/рассылки</x:t>
        </x:is>
      </x:c>
      <x:c r="G178" s="2" t="inlineStr">
        <x:is>
          <x:t xml:space="preserve">Backend</x:t>
        </x:is>
      </x:c>
      <x:c r="H178" s="4" t="n">
        <x:v>17300</x:v>
      </x:c>
      <x:c r="I178" s="4" t="n"/>
      <x:c r="J178" s="4">
        <x:f>IF($I178="","",$I178-$H178)</x:f>
      </x:c>
      <x:c r="K178" s="5">
        <x:f>IF($I178="","",($I178-$H178)/$H178)</x:f>
      </x:c>
      <x:c r="L178" s="2">
        <x:f>IF($I178="","Planned",IF($I178&gt;$H178,"Over",IF($I178&lt;$H178,"Under","On plan")))</x:f>
      </x:c>
      <x:c r="M178" s="2">
        <x:f>IF($I178="","",IF(AND($J178&gt;50000,$K178&gt;0.2),"CRITICAL",""))</x:f>
      </x:c>
      <x:c r="N178" s="2" t="inlineStr">
        <x:is>
          <x:t xml:space="preserve">No</x:t>
        </x:is>
      </x:c>
      <x:c r="O178" s="3" t="inlineStr">
        <x:is>
          <x:t xml:space="preserve">факт не заполнен: ожидается счёт/акт, поэтому пока только план</x:t>
        </x:is>
      </x:c>
    </x:row>
    <x:row r="179">
      <x:c r="A179" s="2" t="n">
        <x:v>178</x:v>
      </x:c>
      <x:c r="B179" s="2" t="inlineStr">
        <x:is>
          <x:t xml:space="preserve">PRJ-301</x:t>
        </x:is>
      </x:c>
      <x:c r="C179" s="2" t="inlineStr">
        <x:is>
          <x:t xml:space="preserve">2025-08</x:t>
        </x:is>
      </x:c>
      <x:c r="D179" s="2" t="inlineStr">
        <x:is>
          <x:t xml:space="preserve">Planned</x:t>
        </x:is>
      </x:c>
      <x:c r="E179" s="3" t="inlineStr">
        <x:is>
          <x:t xml:space="preserve">Подряд</x:t>
        </x:is>
      </x:c>
      <x:c r="F179" s="3" t="inlineStr">
        <x:is>
          <x:t xml:space="preserve">Подряд: дизайн (иллюстрации)</x:t>
        </x:is>
      </x:c>
      <x:c r="G179" s="2" t="inlineStr">
        <x:is>
          <x:t xml:space="preserve">Designer</x:t>
        </x:is>
      </x:c>
      <x:c r="H179" s="4" t="n">
        <x:v>59300</x:v>
      </x:c>
      <x:c r="I179" s="4" t="n"/>
      <x:c r="J179" s="4">
        <x:f>IF($I179="","",$I179-$H179)</x:f>
      </x:c>
      <x:c r="K179" s="5">
        <x:f>IF($I179="","",($I179-$H179)/$H179)</x:f>
      </x:c>
      <x:c r="L179" s="2">
        <x:f>IF($I179="","Planned",IF($I179&gt;$H179,"Over",IF($I179&lt;$H179,"Under","On plan")))</x:f>
      </x:c>
      <x:c r="M179" s="2">
        <x:f>IF($I179="","",IF(AND($J179&gt;50000,$K179&gt;0.2),"CRITICAL",""))</x:f>
      </x:c>
      <x:c r="N179" s="2" t="inlineStr">
        <x:is>
          <x:t xml:space="preserve">No</x:t>
        </x:is>
      </x:c>
      <x:c r="O179" s="3" t="inlineStr">
        <x:is>
          <x:t xml:space="preserve">факт не заполнен: расходы запланированы, но оплат ещё не было</x:t>
        </x:is>
      </x:c>
    </x:row>
    <x:row r="180">
      <x:c r="A180" s="2" t="n">
        <x:v>179</x:v>
      </x:c>
      <x:c r="B180" s="2" t="inlineStr">
        <x:is>
          <x:t xml:space="preserve">PRJ-301</x:t>
        </x:is>
      </x:c>
      <x:c r="C180" s="2" t="inlineStr">
        <x:is>
          <x:t xml:space="preserve">2025-08</x:t>
        </x:is>
      </x:c>
      <x:c r="D180" s="2" t="inlineStr">
        <x:is>
          <x:t xml:space="preserve">Planned</x:t>
        </x:is>
      </x:c>
      <x:c r="E180" s="3" t="inlineStr">
        <x:is>
          <x:t xml:space="preserve">Подряд</x:t>
        </x:is>
      </x:c>
      <x:c r="F180" s="3" t="inlineStr">
        <x:is>
          <x:t xml:space="preserve">Подряд: UX-исследование</x:t>
        </x:is>
      </x:c>
      <x:c r="G180" s="2" t="inlineStr">
        <x:is>
          <x:t xml:space="preserve">Analyst</x:t>
        </x:is>
      </x:c>
      <x:c r="H180" s="4" t="n">
        <x:v>64000</x:v>
      </x:c>
      <x:c r="I180" s="4" t="n"/>
      <x:c r="J180" s="4">
        <x:f>IF($I180="","",$I180-$H180)</x:f>
      </x:c>
      <x:c r="K180" s="5">
        <x:f>IF($I180="","",($I180-$H180)/$H180)</x:f>
      </x:c>
      <x:c r="L180" s="2">
        <x:f>IF($I180="","Planned",IF($I180&gt;$H180,"Over",IF($I180&lt;$H180,"Under","On plan")))</x:f>
      </x:c>
      <x:c r="M180" s="2">
        <x:f>IF($I180="","",IF(AND($J180&gt;50000,$K180&gt;0.2),"CRITICAL",""))</x:f>
      </x:c>
      <x:c r="N180" s="2" t="inlineStr">
        <x:is>
          <x:t xml:space="preserve">No</x:t>
        </x:is>
      </x:c>
      <x:c r="O180" s="3" t="inlineStr">
        <x:is>
          <x:t xml:space="preserve">факт не заполнен: ожидается счёт/акт, поэтому пока только план</x:t>
        </x:is>
      </x:c>
    </x:row>
    <x:row r="181">
      <x:c r="A181" s="2" t="n">
        <x:v>180</x:v>
      </x:c>
      <x:c r="B181" s="2" t="inlineStr">
        <x:is>
          <x:t xml:space="preserve">PRJ-301</x:t>
        </x:is>
      </x:c>
      <x:c r="C181" s="2" t="inlineStr">
        <x:is>
          <x:t xml:space="preserve">2025-08</x:t>
        </x:is>
      </x:c>
      <x:c r="D181" s="2" t="inlineStr">
        <x:is>
          <x:t xml:space="preserve">Planned</x:t>
        </x:is>
      </x:c>
      <x:c r="E181" s="3" t="inlineStr">
        <x:is>
          <x:t xml:space="preserve">Подряд</x:t>
        </x:is>
      </x:c>
      <x:c r="F181" s="3" t="inlineStr">
        <x:is>
          <x:t xml:space="preserve">Подряд: аналитика/BI</x:t>
        </x:is>
      </x:c>
      <x:c r="G181" s="2" t="inlineStr">
        <x:is>
          <x:t xml:space="preserve">Analyst</x:t>
        </x:is>
      </x:c>
      <x:c r="H181" s="4" t="n">
        <x:v>57600</x:v>
      </x:c>
      <x:c r="I181" s="4" t="n"/>
      <x:c r="J181" s="4">
        <x:f>IF($I181="","",$I181-$H181)</x:f>
      </x:c>
      <x:c r="K181" s="5">
        <x:f>IF($I181="","",($I181-$H181)/$H181)</x:f>
      </x:c>
      <x:c r="L181" s="2">
        <x:f>IF($I181="","Planned",IF($I181&gt;$H181,"Over",IF($I181&lt;$H181,"Under","On plan")))</x:f>
      </x:c>
      <x:c r="M181" s="2">
        <x:f>IF($I181="","",IF(AND($J181&gt;50000,$K181&gt;0.2),"CRITICAL",""))</x:f>
      </x:c>
      <x:c r="N181" s="2" t="inlineStr">
        <x:is>
          <x:t xml:space="preserve">No</x:t>
        </x:is>
      </x:c>
      <x:c r="O181" s="3" t="inlineStr">
        <x:is>
          <x:t xml:space="preserve">факт не заполнен: ожидается счёт/акт, поэтому пока только план</x:t>
        </x:is>
      </x:c>
    </x:row>
    <x:row r="182">
      <x:c r="A182" s="2" t="n">
        <x:v>181</x:v>
      </x:c>
      <x:c r="B182" s="2" t="inlineStr">
        <x:is>
          <x:t xml:space="preserve">PRJ-301</x:t>
        </x:is>
      </x:c>
      <x:c r="C182" s="2" t="inlineStr">
        <x:is>
          <x:t xml:space="preserve">2025-08</x:t>
        </x:is>
      </x:c>
      <x:c r="D182" s="2" t="inlineStr">
        <x:is>
          <x:t xml:space="preserve">Planned</x:t>
        </x:is>
      </x:c>
      <x:c r="E182" s="3" t="inlineStr">
        <x:is>
          <x:t xml:space="preserve">Подряд</x:t>
        </x:is>
      </x:c>
      <x:c r="F182" s="3" t="inlineStr">
        <x:is>
          <x:t xml:space="preserve">Подряд: разработка (внешние)</x:t>
        </x:is>
      </x:c>
      <x:c r="G182" s="2" t="inlineStr">
        <x:is>
          <x:t xml:space="preserve">Team Lead</x:t>
        </x:is>
      </x:c>
      <x:c r="H182" s="4" t="n">
        <x:v>37900</x:v>
      </x:c>
      <x:c r="I182" s="4" t="n"/>
      <x:c r="J182" s="4">
        <x:f>IF($I182="","",$I182-$H182)</x:f>
      </x:c>
      <x:c r="K182" s="5">
        <x:f>IF($I182="","",($I182-$H182)/$H182)</x:f>
      </x:c>
      <x:c r="L182" s="2">
        <x:f>IF($I182="","Planned",IF($I182&gt;$H182,"Over",IF($I182&lt;$H182,"Under","On plan")))</x:f>
      </x:c>
      <x:c r="M182" s="2">
        <x:f>IF($I182="","",IF(AND($J182&gt;50000,$K182&gt;0.2),"CRITICAL",""))</x:f>
      </x:c>
      <x:c r="N182" s="2" t="inlineStr">
        <x:is>
          <x:t xml:space="preserve">No</x:t>
        </x:is>
      </x:c>
      <x:c r="O182" s="3" t="inlineStr">
        <x:is>
          <x:t xml:space="preserve">факт не заполнен: ожидается счёт/акт, поэтому пока только план</x:t>
        </x:is>
      </x:c>
    </x:row>
    <x:row r="183">
      <x:c r="A183" s="2" t="n">
        <x:v>182</x:v>
      </x:c>
      <x:c r="B183" s="2" t="inlineStr">
        <x:is>
          <x:t xml:space="preserve">PRJ-301</x:t>
        </x:is>
      </x:c>
      <x:c r="C183" s="2" t="inlineStr">
        <x:is>
          <x:t xml:space="preserve">2025-08</x:t>
        </x:is>
      </x:c>
      <x:c r="D183" s="2" t="inlineStr">
        <x:is>
          <x:t xml:space="preserve">Planned</x:t>
        </x:is>
      </x:c>
      <x:c r="E183" s="3" t="inlineStr">
        <x:is>
          <x:t xml:space="preserve">Маркетинг</x:t>
        </x:is>
      </x:c>
      <x:c r="F183" s="3" t="inlineStr">
        <x:is>
          <x:t xml:space="preserve">Маркетинг: лендинг</x:t>
        </x:is>
      </x:c>
      <x:c r="G183" s="2" t="inlineStr">
        <x:is>
          <x:t xml:space="preserve">Marketing</x:t>
        </x:is>
      </x:c>
      <x:c r="H183" s="4" t="n">
        <x:v>40600</x:v>
      </x:c>
      <x:c r="I183" s="4" t="n"/>
      <x:c r="J183" s="4">
        <x:f>IF($I183="","",$I183-$H183)</x:f>
      </x:c>
      <x:c r="K183" s="5">
        <x:f>IF($I183="","",($I183-$H183)/$H183)</x:f>
      </x:c>
      <x:c r="L183" s="2">
        <x:f>IF($I183="","Planned",IF($I183&gt;$H183,"Over",IF($I183&lt;$H183,"Under","On plan")))</x:f>
      </x:c>
      <x:c r="M183" s="2">
        <x:f>IF($I183="","",IF(AND($J183&gt;50000,$K183&gt;0.2),"CRITICAL",""))</x:f>
      </x:c>
      <x:c r="N183" s="2" t="inlineStr">
        <x:is>
          <x:t xml:space="preserve">No</x:t>
        </x:is>
      </x:c>
      <x:c r="O183" s="3" t="inlineStr">
        <x:is>
          <x:t xml:space="preserve">факт не заполнен: счёт ещё не получен, данные появятся после закрытия месяца</x:t>
        </x:is>
      </x:c>
    </x:row>
    <x:row r="184">
      <x:c r="A184" s="2" t="n">
        <x:v>183</x:v>
      </x:c>
      <x:c r="B184" s="2" t="inlineStr">
        <x:is>
          <x:t xml:space="preserve">PRJ-301</x:t>
        </x:is>
      </x:c>
      <x:c r="C184" s="2" t="inlineStr">
        <x:is>
          <x:t xml:space="preserve">2025-08</x:t>
        </x:is>
      </x:c>
      <x:c r="D184" s="2" t="inlineStr">
        <x:is>
          <x:t xml:space="preserve">Planned</x:t>
        </x:is>
      </x:c>
      <x:c r="E184" s="3" t="inlineStr">
        <x:is>
          <x:t xml:space="preserve">Маркетинг</x:t>
        </x:is>
      </x:c>
      <x:c r="F184" s="3" t="inlineStr">
        <x:is>
          <x:t xml:space="preserve">Маркетинг: реклама (контекст)</x:t>
        </x:is>
      </x:c>
      <x:c r="G184" s="2" t="inlineStr">
        <x:is>
          <x:t xml:space="preserve">Marketing</x:t>
        </x:is>
      </x:c>
      <x:c r="H184" s="4" t="n">
        <x:v>49100</x:v>
      </x:c>
      <x:c r="I184" s="4" t="n"/>
      <x:c r="J184" s="4">
        <x:f>IF($I184="","",$I184-$H184)</x:f>
      </x:c>
      <x:c r="K184" s="5">
        <x:f>IF($I184="","",($I184-$H184)/$H184)</x:f>
      </x:c>
      <x:c r="L184" s="2">
        <x:f>IF($I184="","Planned",IF($I184&gt;$H184,"Over",IF($I184&lt;$H184,"Under","On plan")))</x:f>
      </x:c>
      <x:c r="M184" s="2">
        <x:f>IF($I184="","",IF(AND($J184&gt;50000,$K184&gt;0.2),"CRITICAL",""))</x:f>
      </x:c>
      <x:c r="N184" s="2" t="inlineStr">
        <x:is>
          <x:t xml:space="preserve">No</x:t>
        </x:is>
      </x:c>
      <x:c r="O184" s="3" t="inlineStr">
        <x:is>
          <x:t xml:space="preserve">факт не заполнен: счёт ещё не получен, данные появятся после закрытия месяца</x:t>
        </x:is>
      </x:c>
    </x:row>
    <x:row r="185">
      <x:c r="A185" s="2" t="n">
        <x:v>184</x:v>
      </x:c>
      <x:c r="B185" s="2" t="inlineStr">
        <x:is>
          <x:t xml:space="preserve">PRJ-301</x:t>
        </x:is>
      </x:c>
      <x:c r="C185" s="2" t="inlineStr">
        <x:is>
          <x:t xml:space="preserve">2025-08</x:t>
        </x:is>
      </x:c>
      <x:c r="D185" s="2" t="inlineStr">
        <x:is>
          <x:t xml:space="preserve">Planned</x:t>
        </x:is>
      </x:c>
      <x:c r="E185" s="3" t="inlineStr">
        <x:is>
          <x:t xml:space="preserve">Маркетинг</x:t>
        </x:is>
      </x:c>
      <x:c r="F185" s="3" t="inlineStr">
        <x:is>
          <x:t xml:space="preserve">Маркетинг: контент/копирайт</x:t>
        </x:is>
      </x:c>
      <x:c r="G185" s="2" t="inlineStr">
        <x:is>
          <x:t xml:space="preserve">Marketing</x:t>
        </x:is>
      </x:c>
      <x:c r="H185" s="4" t="n">
        <x:v>20400</x:v>
      </x:c>
      <x:c r="I185" s="4" t="n"/>
      <x:c r="J185" s="4">
        <x:f>IF($I185="","",$I185-$H185)</x:f>
      </x:c>
      <x:c r="K185" s="5">
        <x:f>IF($I185="","",($I185-$H185)/$H185)</x:f>
      </x:c>
      <x:c r="L185" s="2">
        <x:f>IF($I185="","Planned",IF($I185&gt;$H185,"Over",IF($I185&lt;$H185,"Under","On plan")))</x:f>
      </x:c>
      <x:c r="M185" s="2">
        <x:f>IF($I185="","",IF(AND($J185&gt;50000,$K185&gt;0.2),"CRITICAL",""))</x:f>
      </x:c>
      <x:c r="N185" s="2" t="inlineStr">
        <x:is>
          <x:t xml:space="preserve">No</x:t>
        </x:is>
      </x:c>
      <x:c r="O185" s="3" t="inlineStr">
        <x:is>
          <x:t xml:space="preserve">факт не заполнен: счёт ещё не получен, данные появятся после закрытия месяца</x:t>
        </x:is>
      </x:c>
    </x:row>
    <x:row r="186">
      <x:c r="A186" s="2" t="n">
        <x:v>185</x:v>
      </x:c>
      <x:c r="B186" s="2" t="inlineStr">
        <x:is>
          <x:t xml:space="preserve">PRJ-301</x:t>
        </x:is>
      </x:c>
      <x:c r="C186" s="2" t="inlineStr">
        <x:is>
          <x:t xml:space="preserve">2025-08</x:t>
        </x:is>
      </x:c>
      <x:c r="D186" s="2" t="inlineStr">
        <x:is>
          <x:t xml:space="preserve">Planned</x:t>
        </x:is>
      </x:c>
      <x:c r="E186" s="3" t="inlineStr">
        <x:is>
          <x:t xml:space="preserve">Железо</x:t>
        </x:is>
      </x:c>
      <x:c r="F186" s="3" t="inlineStr">
        <x:is>
          <x:t xml:space="preserve">Тестовые устройства (QA)</x:t>
        </x:is>
      </x:c>
      <x:c r="G186" s="2" t="inlineStr">
        <x:is>
          <x:t xml:space="preserve">QA</x:t>
        </x:is>
      </x:c>
      <x:c r="H186" s="4" t="n">
        <x:v>82300</x:v>
      </x:c>
      <x:c r="I186" s="4" t="n"/>
      <x:c r="J186" s="4">
        <x:f>IF($I186="","",$I186-$H186)</x:f>
      </x:c>
      <x:c r="K186" s="5">
        <x:f>IF($I186="","",($I186-$H186)/$H186)</x:f>
      </x:c>
      <x:c r="L186" s="2">
        <x:f>IF($I186="","Planned",IF($I186&gt;$H186,"Over",IF($I186&lt;$H186,"Under","On plan")))</x:f>
      </x:c>
      <x:c r="M186" s="2">
        <x:f>IF($I186="","",IF(AND($J186&gt;50000,$K186&gt;0.2),"CRITICAL",""))</x:f>
      </x:c>
      <x:c r="N186" s="2" t="inlineStr">
        <x:is>
          <x:t xml:space="preserve">No</x:t>
        </x:is>
      </x:c>
      <x:c r="O186" s="3" t="inlineStr">
        <x:is>
          <x:t xml:space="preserve">факт не заполнен: ожидается счёт/акт, поэтому пока только план</x:t>
        </x:is>
      </x:c>
    </x:row>
    <x:row r="187">
      <x:c r="A187" s="2" t="n">
        <x:v>186</x:v>
      </x:c>
      <x:c r="B187" s="2" t="inlineStr">
        <x:is>
          <x:t xml:space="preserve">PRJ-301</x:t>
        </x:is>
      </x:c>
      <x:c r="C187" s="2" t="inlineStr">
        <x:is>
          <x:t xml:space="preserve">2025-08</x:t>
        </x:is>
      </x:c>
      <x:c r="D187" s="2" t="inlineStr">
        <x:is>
          <x:t xml:space="preserve">Planned</x:t>
        </x:is>
      </x:c>
      <x:c r="E187" s="3" t="inlineStr">
        <x:is>
          <x:t xml:space="preserve">Железо</x:t>
        </x:is>
      </x:c>
      <x:c r="F187" s="3" t="inlineStr">
        <x:is>
          <x:t xml:space="preserve">Сервер/мини-ПК для стенда</x:t>
        </x:is>
      </x:c>
      <x:c r="G187" s="2" t="inlineStr">
        <x:is>
          <x:t xml:space="preserve">DevOps</x:t>
        </x:is>
      </x:c>
      <x:c r="H187" s="4" t="n">
        <x:v>34500</x:v>
      </x:c>
      <x:c r="I187" s="4" t="n"/>
      <x:c r="J187" s="4">
        <x:f>IF($I187="","",$I187-$H187)</x:f>
      </x:c>
      <x:c r="K187" s="5">
        <x:f>IF($I187="","",($I187-$H187)/$H187)</x:f>
      </x:c>
      <x:c r="L187" s="2">
        <x:f>IF($I187="","Planned",IF($I187&gt;$H187,"Over",IF($I187&lt;$H187,"Under","On plan")))</x:f>
      </x:c>
      <x:c r="M187" s="2">
        <x:f>IF($I187="","",IF(AND($J187&gt;50000,$K187&gt;0.2),"CRITICAL",""))</x:f>
      </x:c>
      <x:c r="N187" s="2" t="inlineStr">
        <x:is>
          <x:t xml:space="preserve">No</x:t>
        </x:is>
      </x:c>
      <x:c r="O187" s="3" t="inlineStr">
        <x:is>
          <x:t xml:space="preserve">факт не заполнен: расходы запланированы, но оплат ещё не было</x:t>
        </x:is>
      </x:c>
    </x:row>
    <x:row r="188">
      <x:c r="A188" s="2" t="n">
        <x:v>187</x:v>
      </x:c>
      <x:c r="B188" s="2" t="inlineStr">
        <x:is>
          <x:t xml:space="preserve">PRJ-301</x:t>
        </x:is>
      </x:c>
      <x:c r="C188" s="2" t="inlineStr">
        <x:is>
          <x:t xml:space="preserve">2025-08</x:t>
        </x:is>
      </x:c>
      <x:c r="D188" s="2" t="inlineStr">
        <x:is>
          <x:t xml:space="preserve">Planned</x:t>
        </x:is>
      </x:c>
      <x:c r="E188" s="3" t="inlineStr">
        <x:is>
          <x:t xml:space="preserve">Железо</x:t>
        </x:is>
      </x:c>
      <x:c r="F188" s="3" t="inlineStr">
        <x:is>
          <x:t xml:space="preserve">Периферия (кабели/адаптеры)</x:t>
        </x:is>
      </x:c>
      <x:c r="G188" s="2" t="inlineStr">
        <x:is>
          <x:t xml:space="preserve">DevOps</x:t>
        </x:is>
      </x:c>
      <x:c r="H188" s="4" t="n">
        <x:v>10900</x:v>
      </x:c>
      <x:c r="I188" s="4" t="n"/>
      <x:c r="J188" s="4">
        <x:f>IF($I188="","",$I188-$H188)</x:f>
      </x:c>
      <x:c r="K188" s="5">
        <x:f>IF($I188="","",($I188-$H188)/$H188)</x:f>
      </x:c>
      <x:c r="L188" s="2">
        <x:f>IF($I188="","Planned",IF($I188&gt;$H188,"Over",IF($I188&lt;$H188,"Under","On plan")))</x:f>
      </x:c>
      <x:c r="M188" s="2">
        <x:f>IF($I188="","",IF(AND($J188&gt;50000,$K188&gt;0.2),"CRITICAL",""))</x:f>
      </x:c>
      <x:c r="N188" s="2" t="inlineStr">
        <x:is>
          <x:t xml:space="preserve">No</x:t>
        </x:is>
      </x:c>
      <x:c r="O188" s="3" t="inlineStr">
        <x:is>
          <x:t xml:space="preserve">факт не заполнен: счёт ещё не получен, данные появятся после закрытия месяца</x:t>
        </x:is>
      </x:c>
    </x:row>
    <x:row r="189">
      <x:c r="A189" s="2" t="n">
        <x:v>188</x:v>
      </x:c>
      <x:c r="B189" s="2" t="inlineStr">
        <x:is>
          <x:t xml:space="preserve">PRJ-301</x:t>
        </x:is>
      </x:c>
      <x:c r="C189" s="2" t="inlineStr">
        <x:is>
          <x:t xml:space="preserve">2025-08</x:t>
        </x:is>
      </x:c>
      <x:c r="D189" s="2" t="inlineStr">
        <x:is>
          <x:t xml:space="preserve">Planned</x:t>
        </x:is>
      </x:c>
      <x:c r="E189" s="3" t="inlineStr">
        <x:is>
          <x:t xml:space="preserve">Данные</x:t>
        </x:is>
      </x:c>
      <x:c r="F189" s="3" t="inlineStr">
        <x:is>
          <x:t xml:space="preserve">Покупка датасета/доступ</x:t>
        </x:is>
      </x:c>
      <x:c r="G189" s="2" t="inlineStr">
        <x:is>
          <x:t xml:space="preserve">Analyst</x:t>
        </x:is>
      </x:c>
      <x:c r="H189" s="4" t="n">
        <x:v>5600</x:v>
      </x:c>
      <x:c r="I189" s="4" t="n"/>
      <x:c r="J189" s="4">
        <x:f>IF($I189="","",$I189-$H189)</x:f>
      </x:c>
      <x:c r="K189" s="5">
        <x:f>IF($I189="","",($I189-$H189)/$H189)</x:f>
      </x:c>
      <x:c r="L189" s="2">
        <x:f>IF($I189="","Planned",IF($I189&gt;$H189,"Over",IF($I189&lt;$H189,"Under","On plan")))</x:f>
      </x:c>
      <x:c r="M189" s="2">
        <x:f>IF($I189="","",IF(AND($J189&gt;50000,$K189&gt;0.2),"CRITICAL",""))</x:f>
      </x:c>
      <x:c r="N189" s="2" t="inlineStr">
        <x:is>
          <x:t xml:space="preserve">No</x:t>
        </x:is>
      </x:c>
      <x:c r="O189" s="3" t="inlineStr">
        <x:is>
          <x:t xml:space="preserve">факт не заполнен: месяц в плане, ожидаем документы от поставщика</x:t>
        </x:is>
      </x:c>
    </x:row>
    <x:row r="190">
      <x:c r="A190" s="2" t="n">
        <x:v>189</x:v>
      </x:c>
      <x:c r="B190" s="2" t="inlineStr">
        <x:is>
          <x:t xml:space="preserve">PRJ-301</x:t>
        </x:is>
      </x:c>
      <x:c r="C190" s="2" t="inlineStr">
        <x:is>
          <x:t xml:space="preserve">2025-08</x:t>
        </x:is>
      </x:c>
      <x:c r="D190" s="2" t="inlineStr">
        <x:is>
          <x:t xml:space="preserve">Planned</x:t>
        </x:is>
      </x:c>
      <x:c r="E190" s="3" t="inlineStr">
        <x:is>
          <x:t xml:space="preserve">Данные</x:t>
        </x:is>
      </x:c>
      <x:c r="F190" s="3" t="inlineStr">
        <x:is>
          <x:t xml:space="preserve">Разметка данных (аутсорс)</x:t>
        </x:is>
      </x:c>
      <x:c r="G190" s="2" t="inlineStr">
        <x:is>
          <x:t xml:space="preserve">Analyst</x:t>
        </x:is>
      </x:c>
      <x:c r="H190" s="4" t="n">
        <x:v>64200</x:v>
      </x:c>
      <x:c r="I190" s="4" t="n"/>
      <x:c r="J190" s="4">
        <x:f>IF($I190="","",$I190-$H190)</x:f>
      </x:c>
      <x:c r="K190" s="5">
        <x:f>IF($I190="","",($I190-$H190)/$H190)</x:f>
      </x:c>
      <x:c r="L190" s="2">
        <x:f>IF($I190="","Planned",IF($I190&gt;$H190,"Over",IF($I190&lt;$H190,"Under","On plan")))</x:f>
      </x:c>
      <x:c r="M190" s="2">
        <x:f>IF($I190="","",IF(AND($J190&gt;50000,$K190&gt;0.2),"CRITICAL",""))</x:f>
      </x:c>
      <x:c r="N190" s="2" t="inlineStr">
        <x:is>
          <x:t xml:space="preserve">No</x:t>
        </x:is>
      </x:c>
      <x:c r="O190" s="3" t="inlineStr">
        <x:is>
          <x:t xml:space="preserve">факт не заполнен: месяц в плане, ожидаем документы от поставщика</x:t>
        </x:is>
      </x:c>
    </x:row>
    <x:row r="191">
      <x:c r="A191" s="2" t="n">
        <x:v>190</x:v>
      </x:c>
      <x:c r="B191" s="2" t="inlineStr">
        <x:is>
          <x:t xml:space="preserve">PRJ-301</x:t>
        </x:is>
      </x:c>
      <x:c r="C191" s="2" t="inlineStr">
        <x:is>
          <x:t xml:space="preserve">2025-08</x:t>
        </x:is>
      </x:c>
      <x:c r="D191" s="2" t="inlineStr">
        <x:is>
          <x:t xml:space="preserve">Planned</x:t>
        </x:is>
      </x:c>
      <x:c r="E191" s="3" t="inlineStr">
        <x:is>
          <x:t xml:space="preserve">Юридическое</x:t>
        </x:is>
      </x:c>
      <x:c r="F191" s="3" t="inlineStr">
        <x:is>
          <x:t xml:space="preserve">Договоры/юридическая проверка</x:t>
        </x:is>
      </x:c>
      <x:c r="G191" s="2" t="inlineStr">
        <x:is>
          <x:t xml:space="preserve">PM</x:t>
        </x:is>
      </x:c>
      <x:c r="H191" s="4" t="n">
        <x:v>7300</x:v>
      </x:c>
      <x:c r="I191" s="4" t="n"/>
      <x:c r="J191" s="4">
        <x:f>IF($I191="","",$I191-$H191)</x:f>
      </x:c>
      <x:c r="K191" s="5">
        <x:f>IF($I191="","",($I191-$H191)/$H191)</x:f>
      </x:c>
      <x:c r="L191" s="2">
        <x:f>IF($I191="","Planned",IF($I191&gt;$H191,"Over",IF($I191&lt;$H191,"Under","On plan")))</x:f>
      </x:c>
      <x:c r="M191" s="2">
        <x:f>IF($I191="","",IF(AND($J191&gt;50000,$K191&gt;0.2),"CRITICAL",""))</x:f>
      </x:c>
      <x:c r="N191" s="2" t="inlineStr">
        <x:is>
          <x:t xml:space="preserve">No</x:t>
        </x:is>
      </x:c>
      <x:c r="O191" s="3" t="inlineStr">
        <x:is>
          <x:t xml:space="preserve">факт не заполнен: месяц в плане, ожидаем документы от поставщика</x:t>
        </x:is>
      </x:c>
    </x:row>
    <x:row r="192">
      <x:c r="A192" s="2" t="n">
        <x:v>191</x:v>
      </x:c>
      <x:c r="B192" s="2" t="inlineStr">
        <x:is>
          <x:t xml:space="preserve">PRJ-301</x:t>
        </x:is>
      </x:c>
      <x:c r="C192" s="2" t="inlineStr">
        <x:is>
          <x:t xml:space="preserve">2025-08</x:t>
        </x:is>
      </x:c>
      <x:c r="D192" s="2" t="inlineStr">
        <x:is>
          <x:t xml:space="preserve">Planned</x:t>
        </x:is>
      </x:c>
      <x:c r="E192" s="3" t="inlineStr">
        <x:is>
          <x:t xml:space="preserve">Команда</x:t>
        </x:is>
      </x:c>
      <x:c r="F192" s="3" t="inlineStr">
        <x:is>
          <x:t xml:space="preserve">Обучение/курсы</x:t>
        </x:is>
      </x:c>
      <x:c r="G192" s="2" t="inlineStr">
        <x:is>
          <x:t xml:space="preserve">PM</x:t>
        </x:is>
      </x:c>
      <x:c r="H192" s="4" t="n">
        <x:v>9200</x:v>
      </x:c>
      <x:c r="I192" s="4" t="n"/>
      <x:c r="J192" s="4">
        <x:f>IF($I192="","",$I192-$H192)</x:f>
      </x:c>
      <x:c r="K192" s="5">
        <x:f>IF($I192="","",($I192-$H192)/$H192)</x:f>
      </x:c>
      <x:c r="L192" s="2">
        <x:f>IF($I192="","Planned",IF($I192&gt;$H192,"Over",IF($I192&lt;$H192,"Under","On plan")))</x:f>
      </x:c>
      <x:c r="M192" s="2">
        <x:f>IF($I192="","",IF(AND($J192&gt;50000,$K192&gt;0.2),"CRITICAL",""))</x:f>
      </x:c>
      <x:c r="N192" s="2" t="inlineStr">
        <x:is>
          <x:t xml:space="preserve">No</x:t>
        </x:is>
      </x:c>
      <x:c r="O192" s="3" t="inlineStr">
        <x:is>
          <x:t xml:space="preserve">факт не заполнен: ожидается счёт/акт, поэтому пока только план</x:t>
        </x:is>
      </x:c>
    </x:row>
    <x:row r="193">
      <x:c r="A193" s="2" t="n">
        <x:v>192</x:v>
      </x:c>
      <x:c r="B193" s="2" t="inlineStr">
        <x:is>
          <x:t xml:space="preserve">PRJ-301</x:t>
        </x:is>
      </x:c>
      <x:c r="C193" s="2" t="inlineStr">
        <x:is>
          <x:t xml:space="preserve">2025-08</x:t>
        </x:is>
      </x:c>
      <x:c r="D193" s="2" t="inlineStr">
        <x:is>
          <x:t xml:space="preserve">Planned</x:t>
        </x:is>
      </x:c>
      <x:c r="E193" s="3" t="inlineStr">
        <x:is>
          <x:t xml:space="preserve">Команда</x:t>
        </x:is>
      </x:c>
      <x:c r="F193" s="3" t="inlineStr">
        <x:is>
          <x:t xml:space="preserve">Мероприятия/конференции</x:t>
        </x:is>
      </x:c>
      <x:c r="G193" s="2" t="inlineStr">
        <x:is>
          <x:t xml:space="preserve">PM</x:t>
        </x:is>
      </x:c>
      <x:c r="H193" s="4" t="n">
        <x:v>12600</x:v>
      </x:c>
      <x:c r="I193" s="4" t="n"/>
      <x:c r="J193" s="4">
        <x:f>IF($I193="","",$I193-$H193)</x:f>
      </x:c>
      <x:c r="K193" s="5">
        <x:f>IF($I193="","",($I193-$H193)/$H193)</x:f>
      </x:c>
      <x:c r="L193" s="2">
        <x:f>IF($I193="","Planned",IF($I193&gt;$H193,"Over",IF($I193&lt;$H193,"Under","On plan")))</x:f>
      </x:c>
      <x:c r="M193" s="2">
        <x:f>IF($I193="","",IF(AND($J193&gt;50000,$K193&gt;0.2),"CRITICAL",""))</x:f>
      </x:c>
      <x:c r="N193" s="2" t="inlineStr">
        <x:is>
          <x:t xml:space="preserve">No</x:t>
        </x:is>
      </x:c>
      <x:c r="O193" s="3" t="inlineStr">
        <x:is>
          <x:t xml:space="preserve">факт не заполнен: месяц в плане, ожидаем документы от поставщика</x:t>
        </x:is>
      </x:c>
    </x:row>
    <x:row r="194">
      <x:c r="A194" s="2" t="n">
        <x:v>193</x:v>
      </x:c>
      <x:c r="B194" s="2" t="inlineStr">
        <x:is>
          <x:t xml:space="preserve">PRJ-301</x:t>
        </x:is>
      </x:c>
      <x:c r="C194" s="2" t="inlineStr">
        <x:is>
          <x:t xml:space="preserve">2025-08</x:t>
        </x:is>
      </x:c>
      <x:c r="D194" s="2" t="inlineStr">
        <x:is>
          <x:t xml:space="preserve">Planned</x:t>
        </x:is>
      </x:c>
      <x:c r="E194" s="3" t="inlineStr">
        <x:is>
          <x:t xml:space="preserve">Команда</x:t>
        </x:is>
      </x:c>
      <x:c r="F194" s="3" t="inlineStr">
        <x:is>
          <x:t xml:space="preserve">Командировки/проезд</x:t>
        </x:is>
      </x:c>
      <x:c r="G194" s="2" t="inlineStr">
        <x:is>
          <x:t xml:space="preserve">PM</x:t>
        </x:is>
      </x:c>
      <x:c r="H194" s="4" t="n">
        <x:v>40000</x:v>
      </x:c>
      <x:c r="I194" s="4" t="n"/>
      <x:c r="J194" s="4">
        <x:f>IF($I194="","",$I194-$H194)</x:f>
      </x:c>
      <x:c r="K194" s="5">
        <x:f>IF($I194="","",($I194-$H194)/$H194)</x:f>
      </x:c>
      <x:c r="L194" s="2">
        <x:f>IF($I194="","Planned",IF($I194&gt;$H194,"Over",IF($I194&lt;$H194,"Under","On plan")))</x:f>
      </x:c>
      <x:c r="M194" s="2">
        <x:f>IF($I194="","",IF(AND($J194&gt;50000,$K194&gt;0.2),"CRITICAL",""))</x:f>
      </x:c>
      <x:c r="N194" s="2" t="inlineStr">
        <x:is>
          <x:t xml:space="preserve">No</x:t>
        </x:is>
      </x:c>
      <x:c r="O194" s="3" t="inlineStr">
        <x:is>
          <x:t xml:space="preserve">факт не заполнен: ожидается счёт/акт, поэтому пока только план</x:t>
        </x:is>
      </x:c>
    </x:row>
    <x:row r="195">
      <x:c r="A195" s="2" t="n">
        <x:v>194</x:v>
      </x:c>
      <x:c r="B195" s="2" t="inlineStr">
        <x:is>
          <x:t xml:space="preserve">PRJ-301</x:t>
        </x:is>
      </x:c>
      <x:c r="C195" s="2" t="inlineStr">
        <x:is>
          <x:t xml:space="preserve">2025-08</x:t>
        </x:is>
      </x:c>
      <x:c r="D195" s="2" t="inlineStr">
        <x:is>
          <x:t xml:space="preserve">Planned</x:t>
        </x:is>
      </x:c>
      <x:c r="E195" s="3" t="inlineStr">
        <x:is>
          <x:t xml:space="preserve">Операционные</x:t>
        </x:is>
      </x:c>
      <x:c r="F195" s="3" t="inlineStr">
        <x:is>
          <x:t xml:space="preserve">Непредвиденные/резерв</x:t>
        </x:is>
      </x:c>
      <x:c r="G195" s="2" t="inlineStr">
        <x:is>
          <x:t xml:space="preserve">PM</x:t>
        </x:is>
      </x:c>
      <x:c r="H195" s="4" t="n">
        <x:v>46000</x:v>
      </x:c>
      <x:c r="I195" s="4" t="n"/>
      <x:c r="J195" s="4">
        <x:f>IF($I195="","",$I195-$H195)</x:f>
      </x:c>
      <x:c r="K195" s="5">
        <x:f>IF($I195="","",($I195-$H195)/$H195)</x:f>
      </x:c>
      <x:c r="L195" s="2">
        <x:f>IF($I195="","Planned",IF($I195&gt;$H195,"Over",IF($I195&lt;$H195,"Under","On plan")))</x:f>
      </x:c>
      <x:c r="M195" s="2">
        <x:f>IF($I195="","",IF(AND($J195&gt;50000,$K195&gt;0.2),"CRITICAL",""))</x:f>
      </x:c>
      <x:c r="N195" s="2" t="inlineStr">
        <x:is>
          <x:t xml:space="preserve">No</x:t>
        </x:is>
      </x:c>
      <x:c r="O195" s="3" t="inlineStr">
        <x:is>
          <x:t xml:space="preserve">факт не заполнен: месяц в плане, ожидаем документы от поставщика</x:t>
        </x:is>
      </x:c>
    </x:row>
    <x:row r="196">
      <x:c r="A196" s="2" t="n">
        <x:v>195</x:v>
      </x:c>
      <x:c r="B196" s="2" t="inlineStr">
        <x:is>
          <x:t xml:space="preserve">PRJ-301</x:t>
        </x:is>
      </x:c>
      <x:c r="C196" s="2" t="inlineStr">
        <x:is>
          <x:t xml:space="preserve">2025-08</x:t>
        </x:is>
      </x:c>
      <x:c r="D196" s="2" t="inlineStr">
        <x:is>
          <x:t xml:space="preserve">Planned</x:t>
        </x:is>
      </x:c>
      <x:c r="E196" s="3" t="inlineStr">
        <x:is>
          <x:t xml:space="preserve">Операционные</x:t>
        </x:is>
      </x:c>
      <x:c r="F196" s="3" t="inlineStr">
        <x:is>
          <x:t xml:space="preserve">Печать/полиграфия</x:t>
        </x:is>
      </x:c>
      <x:c r="G196" s="2" t="inlineStr">
        <x:is>
          <x:t xml:space="preserve">Marketing</x:t>
        </x:is>
      </x:c>
      <x:c r="H196" s="4" t="n">
        <x:v>7400</x:v>
      </x:c>
      <x:c r="I196" s="4" t="n"/>
      <x:c r="J196" s="4">
        <x:f>IF($I196="","",$I196-$H196)</x:f>
      </x:c>
      <x:c r="K196" s="5">
        <x:f>IF($I196="","",($I196-$H196)/$H196)</x:f>
      </x:c>
      <x:c r="L196" s="2">
        <x:f>IF($I196="","Planned",IF($I196&gt;$H196,"Over",IF($I196&lt;$H196,"Under","On plan")))</x:f>
      </x:c>
      <x:c r="M196" s="2">
        <x:f>IF($I196="","",IF(AND($J196&gt;50000,$K196&gt;0.2),"CRITICAL",""))</x:f>
      </x:c>
      <x:c r="N196" s="2" t="inlineStr">
        <x:is>
          <x:t xml:space="preserve">No</x:t>
        </x:is>
      </x:c>
      <x:c r="O196" s="3" t="inlineStr">
        <x:is>
          <x:t xml:space="preserve">факт не заполнен: расходы запланированы, но оплат ещё не было</x:t>
        </x:is>
      </x:c>
    </x:row>
    <x:row r="197">
      <x:c r="A197" s="2" t="n">
        <x:v>196</x:v>
      </x:c>
      <x:c r="B197" s="2" t="inlineStr">
        <x:is>
          <x:t xml:space="preserve">PRJ-301</x:t>
        </x:is>
      </x:c>
      <x:c r="C197" s="2" t="inlineStr">
        <x:is>
          <x:t xml:space="preserve">2025-08</x:t>
        </x:is>
      </x:c>
      <x:c r="D197" s="2" t="inlineStr">
        <x:is>
          <x:t xml:space="preserve">Planned</x:t>
        </x:is>
      </x:c>
      <x:c r="E197" s="3" t="inlineStr">
        <x:is>
          <x:t xml:space="preserve">Операционные</x:t>
        </x:is>
      </x:c>
      <x:c r="F197" s="3" t="inlineStr">
        <x:is>
          <x:t xml:space="preserve">Сервисы обратной связи (опросы)</x:t>
        </x:is>
      </x:c>
      <x:c r="G197" s="2" t="inlineStr">
        <x:is>
          <x:t xml:space="preserve">Analyst</x:t>
        </x:is>
      </x:c>
      <x:c r="H197" s="4" t="n">
        <x:v>14500</x:v>
      </x:c>
      <x:c r="I197" s="4" t="n"/>
      <x:c r="J197" s="4">
        <x:f>IF($I197="","",$I197-$H197)</x:f>
      </x:c>
      <x:c r="K197" s="5">
        <x:f>IF($I197="","",($I197-$H197)/$H197)</x:f>
      </x:c>
      <x:c r="L197" s="2">
        <x:f>IF($I197="","Planned",IF($I197&gt;$H197,"Over",IF($I197&lt;$H197,"Under","On plan")))</x:f>
      </x:c>
      <x:c r="M197" s="2">
        <x:f>IF($I197="","",IF(AND($J197&gt;50000,$K197&gt;0.2),"CRITICAL",""))</x:f>
      </x:c>
      <x:c r="N197" s="2" t="inlineStr">
        <x:is>
          <x:t xml:space="preserve">No</x:t>
        </x:is>
      </x:c>
      <x:c r="O197" s="3" t="inlineStr">
        <x:is>
          <x:t xml:space="preserve">факт не заполнен: ожидается счёт/акт, поэтому пока только план</x:t>
        </x:is>
      </x:c>
    </x:row>
    <x:row r="198">
      <x:c r="A198" s="2" t="n">
        <x:v>197</x:v>
      </x:c>
      <x:c r="B198" s="2" t="inlineStr">
        <x:is>
          <x:t xml:space="preserve">PRJ-301</x:t>
        </x:is>
      </x:c>
      <x:c r="C198" s="2" t="inlineStr">
        <x:is>
          <x:t xml:space="preserve">2025-08</x:t>
        </x:is>
      </x:c>
      <x:c r="D198" s="2" t="inlineStr">
        <x:is>
          <x:t xml:space="preserve">Planned</x:t>
        </x:is>
      </x:c>
      <x:c r="E198" s="3" t="inlineStr">
        <x:is>
          <x:t xml:space="preserve">Операционные</x:t>
        </x:is>
      </x:c>
      <x:c r="F198" s="3" t="inlineStr">
        <x:is>
          <x:t xml:space="preserve">Платежи/комиссии</x:t>
        </x:is>
      </x:c>
      <x:c r="G198" s="2" t="inlineStr">
        <x:is>
          <x:t xml:space="preserve">Admin</x:t>
        </x:is>
      </x:c>
      <x:c r="H198" s="4" t="n">
        <x:v>3300</x:v>
      </x:c>
      <x:c r="I198" s="4" t="n"/>
      <x:c r="J198" s="4">
        <x:f>IF($I198="","",$I198-$H198)</x:f>
      </x:c>
      <x:c r="K198" s="5">
        <x:f>IF($I198="","",($I198-$H198)/$H198)</x:f>
      </x:c>
      <x:c r="L198" s="2">
        <x:f>IF($I198="","Planned",IF($I198&gt;$H198,"Over",IF($I198&lt;$H198,"Under","On plan")))</x:f>
      </x:c>
      <x:c r="M198" s="2">
        <x:f>IF($I198="","",IF(AND($J198&gt;50000,$K198&gt;0.2),"CRITICAL",""))</x:f>
      </x:c>
      <x:c r="N198" s="2" t="inlineStr">
        <x:is>
          <x:t xml:space="preserve">No</x:t>
        </x:is>
      </x:c>
      <x:c r="O198" s="3" t="inlineStr">
        <x:is>
          <x:t xml:space="preserve">факт не заполнен: месяц в плане, ожидаем документы от поставщика</x:t>
        </x:is>
      </x:c>
    </x:row>
    <x:row r="199">
      <x:c r="A199" s="2" t="n">
        <x:v>198</x:v>
      </x:c>
      <x:c r="B199" s="2" t="inlineStr">
        <x:is>
          <x:t xml:space="preserve">PRJ-301</x:t>
        </x:is>
      </x:c>
      <x:c r="C199" s="2" t="inlineStr">
        <x:is>
          <x:t xml:space="preserve">2025-08</x:t>
        </x:is>
      </x:c>
      <x:c r="D199" s="2" t="inlineStr">
        <x:is>
          <x:t xml:space="preserve">Planned</x:t>
        </x:is>
      </x:c>
      <x:c r="E199" s="3" t="inlineStr">
        <x:is>
          <x:t xml:space="preserve">Безопасность</x:t>
        </x:is>
      </x:c>
      <x:c r="F199" s="3" t="inlineStr">
        <x:is>
          <x:t xml:space="preserve">Пентест/аудит</x:t>
        </x:is>
      </x:c>
      <x:c r="G199" s="2" t="inlineStr">
        <x:is>
          <x:t xml:space="preserve">DevOps</x:t>
        </x:is>
      </x:c>
      <x:c r="H199" s="4" t="n">
        <x:v>57100</x:v>
      </x:c>
      <x:c r="I199" s="4" t="n"/>
      <x:c r="J199" s="4">
        <x:f>IF($I199="","",$I199-$H199)</x:f>
      </x:c>
      <x:c r="K199" s="5">
        <x:f>IF($I199="","",($I199-$H199)/$H199)</x:f>
      </x:c>
      <x:c r="L199" s="2">
        <x:f>IF($I199="","Planned",IF($I199&gt;$H199,"Over",IF($I199&lt;$H199,"Under","On plan")))</x:f>
      </x:c>
      <x:c r="M199" s="2">
        <x:f>IF($I199="","",IF(AND($J199&gt;50000,$K199&gt;0.2),"CRITICAL",""))</x:f>
      </x:c>
      <x:c r="N199" s="2" t="inlineStr">
        <x:is>
          <x:t xml:space="preserve">No</x:t>
        </x:is>
      </x:c>
      <x:c r="O199" s="3" t="inlineStr">
        <x:is>
          <x:t xml:space="preserve">факт не заполнен: счёт ещё не получен, данные появятся после закрытия месяца</x:t>
        </x:is>
      </x:c>
    </x:row>
    <x:row r="200">
      <x:c r="A200" s="2" t="n">
        <x:v>199</x:v>
      </x:c>
      <x:c r="B200" s="2" t="inlineStr">
        <x:is>
          <x:t xml:space="preserve">PRJ-301</x:t>
        </x:is>
      </x:c>
      <x:c r="C200" s="2" t="inlineStr">
        <x:is>
          <x:t xml:space="preserve">2025-08</x:t>
        </x:is>
      </x:c>
      <x:c r="D200" s="2" t="inlineStr">
        <x:is>
          <x:t xml:space="preserve">Planned</x:t>
        </x:is>
      </x:c>
      <x:c r="E200" s="3" t="inlineStr">
        <x:is>
          <x:t xml:space="preserve">Безопасность</x:t>
        </x:is>
      </x:c>
      <x:c r="F200" s="3" t="inlineStr">
        <x:is>
          <x:t xml:space="preserve">Сканер уязвимостей</x:t>
        </x:is>
      </x:c>
      <x:c r="G200" s="2" t="inlineStr">
        <x:is>
          <x:t xml:space="preserve">DevOps</x:t>
        </x:is>
      </x:c>
      <x:c r="H200" s="4" t="n">
        <x:v>35400</x:v>
      </x:c>
      <x:c r="I200" s="4" t="n"/>
      <x:c r="J200" s="4">
        <x:f>IF($I200="","",$I200-$H200)</x:f>
      </x:c>
      <x:c r="K200" s="5">
        <x:f>IF($I200="","",($I200-$H200)/$H200)</x:f>
      </x:c>
      <x:c r="L200" s="2">
        <x:f>IF($I200="","Planned",IF($I200&gt;$H200,"Over",IF($I200&lt;$H200,"Under","On plan")))</x:f>
      </x:c>
      <x:c r="M200" s="2">
        <x:f>IF($I200="","",IF(AND($J200&gt;50000,$K200&gt;0.2),"CRITICAL",""))</x:f>
      </x:c>
      <x:c r="N200" s="2" t="inlineStr">
        <x:is>
          <x:t xml:space="preserve">No</x:t>
        </x:is>
      </x:c>
      <x:c r="O200" s="3" t="inlineStr">
        <x:is>
          <x:t xml:space="preserve">факт не заполнен: ожидается счёт/акт, поэтому пока только план</x:t>
        </x:is>
      </x:c>
    </x:row>
    <x:row r="201">
      <x:c r="A201" s="2" t="n">
        <x:v>200</x:v>
      </x:c>
      <x:c r="B201" s="2" t="inlineStr">
        <x:is>
          <x:t xml:space="preserve">PRJ-301</x:t>
        </x:is>
      </x:c>
      <x:c r="C201" s="2" t="inlineStr">
        <x:is>
          <x:t xml:space="preserve">2025-08</x:t>
        </x:is>
      </x:c>
      <x:c r="D201" s="2" t="inlineStr">
        <x:is>
          <x:t xml:space="preserve">Planned</x:t>
        </x:is>
      </x:c>
      <x:c r="E201" s="3" t="inlineStr">
        <x:is>
          <x:t xml:space="preserve">Тестирование</x:t>
        </x:is>
      </x:c>
      <x:c r="F201" s="3" t="inlineStr">
        <x:is>
          <x:t xml:space="preserve">Тестовые аккаунты/подписки</x:t>
        </x:is>
      </x:c>
      <x:c r="G201" s="2" t="inlineStr">
        <x:is>
          <x:t xml:space="preserve">QA</x:t>
        </x:is>
      </x:c>
      <x:c r="H201" s="4" t="n">
        <x:v>6000</x:v>
      </x:c>
      <x:c r="I201" s="4" t="n"/>
      <x:c r="J201" s="4">
        <x:f>IF($I201="","",$I201-$H201)</x:f>
      </x:c>
      <x:c r="K201" s="5">
        <x:f>IF($I201="","",($I201-$H201)/$H201)</x:f>
      </x:c>
      <x:c r="L201" s="2">
        <x:f>IF($I201="","Planned",IF($I201&gt;$H201,"Over",IF($I201&lt;$H201,"Under","On plan")))</x:f>
      </x:c>
      <x:c r="M201" s="2">
        <x:f>IF($I201="","",IF(AND($J201&gt;50000,$K201&gt;0.2),"CRITICAL",""))</x:f>
      </x:c>
      <x:c r="N201" s="2" t="inlineStr">
        <x:is>
          <x:t xml:space="preserve">No</x:t>
        </x:is>
      </x:c>
      <x:c r="O201" s="3" t="inlineStr">
        <x:is>
          <x:t xml:space="preserve">факт не заполнен: счёт ещё не получен, данные появятся после закрытия месяца</x:t>
        </x:is>
      </x:c>
    </x:row>
    <x:row r="202">
      <x:c r="A202" s="2" t="n">
        <x:v>201</x:v>
      </x:c>
      <x:c r="B202" s="2" t="inlineStr">
        <x:is>
          <x:t xml:space="preserve">PRJ-301</x:t>
        </x:is>
      </x:c>
      <x:c r="C202" s="2" t="inlineStr">
        <x:is>
          <x:t xml:space="preserve">2025-09</x:t>
        </x:is>
      </x:c>
      <x:c r="D202" s="2" t="inlineStr">
        <x:is>
          <x:t xml:space="preserve">Planned</x:t>
        </x:is>
      </x:c>
      <x:c r="E202" s="3" t="inlineStr">
        <x:is>
          <x:t xml:space="preserve">Маркетинг</x:t>
        </x:is>
      </x:c>
      <x:c r="F202" s="3" t="inlineStr">
        <x:is>
          <x:t xml:space="preserve">Маркетинг: реклама (контекст)</x:t>
        </x:is>
      </x:c>
      <x:c r="G202" s="2" t="inlineStr">
        <x:is>
          <x:t xml:space="preserve">Marketing</x:t>
        </x:is>
      </x:c>
      <x:c r="H202" s="4" t="n">
        <x:v>77400</x:v>
      </x:c>
      <x:c r="I202" s="4" t="n"/>
      <x:c r="J202" s="4">
        <x:f>IF($I202="","",$I202-$H202)</x:f>
      </x:c>
      <x:c r="K202" s="5">
        <x:f>IF($I202="","",($I202-$H202)/$H202)</x:f>
      </x:c>
      <x:c r="L202" s="2">
        <x:f>IF($I202="","Planned",IF($I202&gt;$H202,"Over",IF($I202&lt;$H202,"Under","On plan")))</x:f>
      </x:c>
      <x:c r="M202" s="2">
        <x:f>IF($I202="","",IF(AND($J202&gt;50000,$K202&gt;0.2),"CRITICAL",""))</x:f>
      </x:c>
      <x:c r="N202" s="2" t="inlineStr">
        <x:is>
          <x:t xml:space="preserve">No</x:t>
        </x:is>
      </x:c>
      <x:c r="O202" s="3" t="inlineStr">
        <x:is>
          <x:t xml:space="preserve">факт не заполнен: счёт ещё не получен, данные появятся после закрытия месяца</x:t>
        </x:is>
      </x:c>
    </x:row>
    <x:row r="203">
      <x:c r="A203" s="2" t="n">
        <x:v>202</x:v>
      </x:c>
      <x:c r="B203" s="2" t="inlineStr">
        <x:is>
          <x:t xml:space="preserve">PRJ-301</x:t>
        </x:is>
      </x:c>
      <x:c r="C203" s="2" t="inlineStr">
        <x:is>
          <x:t xml:space="preserve">2025-09</x:t>
        </x:is>
      </x:c>
      <x:c r="D203" s="2" t="inlineStr">
        <x:is>
          <x:t xml:space="preserve">Planned</x:t>
        </x:is>
      </x:c>
      <x:c r="E203" s="3" t="inlineStr">
        <x:is>
          <x:t xml:space="preserve">Маркетинг</x:t>
        </x:is>
      </x:c>
      <x:c r="F203" s="3" t="inlineStr">
        <x:is>
          <x:t xml:space="preserve">Маркетинг: контент/копирайт</x:t>
        </x:is>
      </x:c>
      <x:c r="G203" s="2" t="inlineStr">
        <x:is>
          <x:t xml:space="preserve">Marketing</x:t>
        </x:is>
      </x:c>
      <x:c r="H203" s="4" t="n">
        <x:v>6400</x:v>
      </x:c>
      <x:c r="I203" s="4" t="n"/>
      <x:c r="J203" s="4">
        <x:f>IF($I203="","",$I203-$H203)</x:f>
      </x:c>
      <x:c r="K203" s="5">
        <x:f>IF($I203="","",($I203-$H203)/$H203)</x:f>
      </x:c>
      <x:c r="L203" s="2">
        <x:f>IF($I203="","Planned",IF($I203&gt;$H203,"Over",IF($I203&lt;$H203,"Under","On plan")))</x:f>
      </x:c>
      <x:c r="M203" s="2">
        <x:f>IF($I203="","",IF(AND($J203&gt;50000,$K203&gt;0.2),"CRITICAL",""))</x:f>
      </x:c>
      <x:c r="N203" s="2" t="inlineStr">
        <x:is>
          <x:t xml:space="preserve">No</x:t>
        </x:is>
      </x:c>
      <x:c r="O203" s="3" t="inlineStr">
        <x:is>
          <x:t xml:space="preserve">факт не заполнен: счёт ещё не получен, данные появятся после закрытия месяца</x:t>
        </x:is>
      </x:c>
    </x:row>
    <x:row r="204">
      <x:c r="A204" s="2" t="n">
        <x:v>203</x:v>
      </x:c>
      <x:c r="B204" s="2" t="inlineStr">
        <x:is>
          <x:t xml:space="preserve">PRJ-301</x:t>
        </x:is>
      </x:c>
      <x:c r="C204" s="2" t="inlineStr">
        <x:is>
          <x:t xml:space="preserve">2025-09</x:t>
        </x:is>
      </x:c>
      <x:c r="D204" s="2" t="inlineStr">
        <x:is>
          <x:t xml:space="preserve">Planned</x:t>
        </x:is>
      </x:c>
      <x:c r="E204" s="3" t="inlineStr">
        <x:is>
          <x:t xml:space="preserve">Железо</x:t>
        </x:is>
      </x:c>
      <x:c r="F204" s="3" t="inlineStr">
        <x:is>
          <x:t xml:space="preserve">Тестовые устройства (QA)</x:t>
        </x:is>
      </x:c>
      <x:c r="G204" s="2" t="inlineStr">
        <x:is>
          <x:t xml:space="preserve">QA</x:t>
        </x:is>
      </x:c>
      <x:c r="H204" s="4" t="n">
        <x:v>87500</x:v>
      </x:c>
      <x:c r="I204" s="4" t="n"/>
      <x:c r="J204" s="4">
        <x:f>IF($I204="","",$I204-$H204)</x:f>
      </x:c>
      <x:c r="K204" s="5">
        <x:f>IF($I204="","",($I204-$H204)/$H204)</x:f>
      </x:c>
      <x:c r="L204" s="2">
        <x:f>IF($I204="","Planned",IF($I204&gt;$H204,"Over",IF($I204&lt;$H204,"Under","On plan")))</x:f>
      </x:c>
      <x:c r="M204" s="2">
        <x:f>IF($I204="","",IF(AND($J204&gt;50000,$K204&gt;0.2),"CRITICAL",""))</x:f>
      </x:c>
      <x:c r="N204" s="2" t="inlineStr">
        <x:is>
          <x:t xml:space="preserve">No</x:t>
        </x:is>
      </x:c>
      <x:c r="O204" s="3" t="inlineStr">
        <x:is>
          <x:t xml:space="preserve">факт не заполнен: счёт ещё не получен, данные появятся после закрытия месяца</x:t>
        </x:is>
      </x:c>
    </x:row>
    <x:row r="205">
      <x:c r="A205" s="2" t="n">
        <x:v>204</x:v>
      </x:c>
      <x:c r="B205" s="2" t="inlineStr">
        <x:is>
          <x:t xml:space="preserve">PRJ-301</x:t>
        </x:is>
      </x:c>
      <x:c r="C205" s="2" t="inlineStr">
        <x:is>
          <x:t xml:space="preserve">2025-09</x:t>
        </x:is>
      </x:c>
      <x:c r="D205" s="2" t="inlineStr">
        <x:is>
          <x:t xml:space="preserve">Planned</x:t>
        </x:is>
      </x:c>
      <x:c r="E205" s="3" t="inlineStr">
        <x:is>
          <x:t xml:space="preserve">Железо</x:t>
        </x:is>
      </x:c>
      <x:c r="F205" s="3" t="inlineStr">
        <x:is>
          <x:t xml:space="preserve">Сервер/мини-ПК для стенда</x:t>
        </x:is>
      </x:c>
      <x:c r="G205" s="2" t="inlineStr">
        <x:is>
          <x:t xml:space="preserve">DevOps</x:t>
        </x:is>
      </x:c>
      <x:c r="H205" s="4" t="n">
        <x:v>25600</x:v>
      </x:c>
      <x:c r="I205" s="4" t="n"/>
      <x:c r="J205" s="4">
        <x:f>IF($I205="","",$I205-$H205)</x:f>
      </x:c>
      <x:c r="K205" s="5">
        <x:f>IF($I205="","",($I205-$H205)/$H205)</x:f>
      </x:c>
      <x:c r="L205" s="2">
        <x:f>IF($I205="","Planned",IF($I205&gt;$H205,"Over",IF($I205&lt;$H205,"Under","On plan")))</x:f>
      </x:c>
      <x:c r="M205" s="2">
        <x:f>IF($I205="","",IF(AND($J205&gt;50000,$K205&gt;0.2),"CRITICAL",""))</x:f>
      </x:c>
      <x:c r="N205" s="2" t="inlineStr">
        <x:is>
          <x:t xml:space="preserve">No</x:t>
        </x:is>
      </x:c>
      <x:c r="O205" s="3" t="inlineStr">
        <x:is>
          <x:t xml:space="preserve">факт не заполнен: месяц в плане, ожидаем документы от поставщика</x:t>
        </x:is>
      </x:c>
    </x:row>
    <x:row r="206">
      <x:c r="A206" s="2" t="n">
        <x:v>205</x:v>
      </x:c>
      <x:c r="B206" s="2" t="inlineStr">
        <x:is>
          <x:t xml:space="preserve">PRJ-301</x:t>
        </x:is>
      </x:c>
      <x:c r="C206" s="2" t="inlineStr">
        <x:is>
          <x:t xml:space="preserve">2025-09</x:t>
        </x:is>
      </x:c>
      <x:c r="D206" s="2" t="inlineStr">
        <x:is>
          <x:t xml:space="preserve">Planned</x:t>
        </x:is>
      </x:c>
      <x:c r="E206" s="3" t="inlineStr">
        <x:is>
          <x:t xml:space="preserve">Железо</x:t>
        </x:is>
      </x:c>
      <x:c r="F206" s="3" t="inlineStr">
        <x:is>
          <x:t xml:space="preserve">Периферия (кабели/адаптеры)</x:t>
        </x:is>
      </x:c>
      <x:c r="G206" s="2" t="inlineStr">
        <x:is>
          <x:t xml:space="preserve">DevOps</x:t>
        </x:is>
      </x:c>
      <x:c r="H206" s="4" t="n">
        <x:v>18000</x:v>
      </x:c>
      <x:c r="I206" s="4" t="n"/>
      <x:c r="J206" s="4">
        <x:f>IF($I206="","",$I206-$H206)</x:f>
      </x:c>
      <x:c r="K206" s="5">
        <x:f>IF($I206="","",($I206-$H206)/$H206)</x:f>
      </x:c>
      <x:c r="L206" s="2">
        <x:f>IF($I206="","Planned",IF($I206&gt;$H206,"Over",IF($I206&lt;$H206,"Under","On plan")))</x:f>
      </x:c>
      <x:c r="M206" s="2">
        <x:f>IF($I206="","",IF(AND($J206&gt;50000,$K206&gt;0.2),"CRITICAL",""))</x:f>
      </x:c>
      <x:c r="N206" s="2" t="inlineStr">
        <x:is>
          <x:t xml:space="preserve">No</x:t>
        </x:is>
      </x:c>
      <x:c r="O206" s="3" t="inlineStr">
        <x:is>
          <x:t xml:space="preserve">факт не заполнен: месяц в плане, ожидаем документы от поставщика</x:t>
        </x:is>
      </x:c>
    </x:row>
    <x:row r="207">
      <x:c r="A207" s="2" t="n">
        <x:v>206</x:v>
      </x:c>
      <x:c r="B207" s="2" t="inlineStr">
        <x:is>
          <x:t xml:space="preserve">PRJ-301</x:t>
        </x:is>
      </x:c>
      <x:c r="C207" s="2" t="inlineStr">
        <x:is>
          <x:t xml:space="preserve">2025-09</x:t>
        </x:is>
      </x:c>
      <x:c r="D207" s="2" t="inlineStr">
        <x:is>
          <x:t xml:space="preserve">Planned</x:t>
        </x:is>
      </x:c>
      <x:c r="E207" s="3" t="inlineStr">
        <x:is>
          <x:t xml:space="preserve">Данные</x:t>
        </x:is>
      </x:c>
      <x:c r="F207" s="3" t="inlineStr">
        <x:is>
          <x:t xml:space="preserve">Покупка датасета/доступ</x:t>
        </x:is>
      </x:c>
      <x:c r="G207" s="2" t="inlineStr">
        <x:is>
          <x:t xml:space="preserve">Analyst</x:t>
        </x:is>
      </x:c>
      <x:c r="H207" s="4" t="n">
        <x:v>34000</x:v>
      </x:c>
      <x:c r="I207" s="4" t="n"/>
      <x:c r="J207" s="4">
        <x:f>IF($I207="","",$I207-$H207)</x:f>
      </x:c>
      <x:c r="K207" s="5">
        <x:f>IF($I207="","",($I207-$H207)/$H207)</x:f>
      </x:c>
      <x:c r="L207" s="2">
        <x:f>IF($I207="","Planned",IF($I207&gt;$H207,"Over",IF($I207&lt;$H207,"Under","On plan")))</x:f>
      </x:c>
      <x:c r="M207" s="2">
        <x:f>IF($I207="","",IF(AND($J207&gt;50000,$K207&gt;0.2),"CRITICAL",""))</x:f>
      </x:c>
      <x:c r="N207" s="2" t="inlineStr">
        <x:is>
          <x:t xml:space="preserve">No</x:t>
        </x:is>
      </x:c>
      <x:c r="O207" s="3" t="inlineStr">
        <x:is>
          <x:t xml:space="preserve">факт не заполнен: ожидается счёт/акт, поэтому пока только план</x:t>
        </x:is>
      </x:c>
    </x:row>
    <x:row r="208">
      <x:c r="A208" s="2" t="n">
        <x:v>207</x:v>
      </x:c>
      <x:c r="B208" s="2" t="inlineStr">
        <x:is>
          <x:t xml:space="preserve">PRJ-301</x:t>
        </x:is>
      </x:c>
      <x:c r="C208" s="2" t="inlineStr">
        <x:is>
          <x:t xml:space="preserve">2025-09</x:t>
        </x:is>
      </x:c>
      <x:c r="D208" s="2" t="inlineStr">
        <x:is>
          <x:t xml:space="preserve">Planned</x:t>
        </x:is>
      </x:c>
      <x:c r="E208" s="3" t="inlineStr">
        <x:is>
          <x:t xml:space="preserve">Данные</x:t>
        </x:is>
      </x:c>
      <x:c r="F208" s="3" t="inlineStr">
        <x:is>
          <x:t xml:space="preserve">Разметка данных (аутсорс)</x:t>
        </x:is>
      </x:c>
      <x:c r="G208" s="2" t="inlineStr">
        <x:is>
          <x:t xml:space="preserve">Analyst</x:t>
        </x:is>
      </x:c>
      <x:c r="H208" s="4" t="n">
        <x:v>119300</x:v>
      </x:c>
      <x:c r="I208" s="4" t="n"/>
      <x:c r="J208" s="4">
        <x:f>IF($I208="","",$I208-$H208)</x:f>
      </x:c>
      <x:c r="K208" s="5">
        <x:f>IF($I208="","",($I208-$H208)/$H208)</x:f>
      </x:c>
      <x:c r="L208" s="2">
        <x:f>IF($I208="","Planned",IF($I208&gt;$H208,"Over",IF($I208&lt;$H208,"Under","On plan")))</x:f>
      </x:c>
      <x:c r="M208" s="2">
        <x:f>IF($I208="","",IF(AND($J208&gt;50000,$K208&gt;0.2),"CRITICAL",""))</x:f>
      </x:c>
      <x:c r="N208" s="2" t="inlineStr">
        <x:is>
          <x:t xml:space="preserve">No</x:t>
        </x:is>
      </x:c>
      <x:c r="O208" s="3" t="inlineStr">
        <x:is>
          <x:t xml:space="preserve">факт не заполнен: ожидается счёт/акт, поэтому пока только план</x:t>
        </x:is>
      </x:c>
    </x:row>
    <x:row r="209">
      <x:c r="A209" s="2" t="n">
        <x:v>208</x:v>
      </x:c>
      <x:c r="B209" s="2" t="inlineStr">
        <x:is>
          <x:t xml:space="preserve">PRJ-301</x:t>
        </x:is>
      </x:c>
      <x:c r="C209" s="2" t="inlineStr">
        <x:is>
          <x:t xml:space="preserve">2025-09</x:t>
        </x:is>
      </x:c>
      <x:c r="D209" s="2" t="inlineStr">
        <x:is>
          <x:t xml:space="preserve">Planned</x:t>
        </x:is>
      </x:c>
      <x:c r="E209" s="3" t="inlineStr">
        <x:is>
          <x:t xml:space="preserve">Юридическое</x:t>
        </x:is>
      </x:c>
      <x:c r="F209" s="3" t="inlineStr">
        <x:is>
          <x:t xml:space="preserve">Договоры/юридическая проверка</x:t>
        </x:is>
      </x:c>
      <x:c r="G209" s="2" t="inlineStr">
        <x:is>
          <x:t xml:space="preserve">PM</x:t>
        </x:is>
      </x:c>
      <x:c r="H209" s="4" t="n">
        <x:v>8000</x:v>
      </x:c>
      <x:c r="I209" s="4" t="n"/>
      <x:c r="J209" s="4">
        <x:f>IF($I209="","",$I209-$H209)</x:f>
      </x:c>
      <x:c r="K209" s="5">
        <x:f>IF($I209="","",($I209-$H209)/$H209)</x:f>
      </x:c>
      <x:c r="L209" s="2">
        <x:f>IF($I209="","Planned",IF($I209&gt;$H209,"Over",IF($I209&lt;$H209,"Under","On plan")))</x:f>
      </x:c>
      <x:c r="M209" s="2">
        <x:f>IF($I209="","",IF(AND($J209&gt;50000,$K209&gt;0.2),"CRITICAL",""))</x:f>
      </x:c>
      <x:c r="N209" s="2" t="inlineStr">
        <x:is>
          <x:t xml:space="preserve">No</x:t>
        </x:is>
      </x:c>
      <x:c r="O209" s="3" t="inlineStr">
        <x:is>
          <x:t xml:space="preserve">факт не заполнен: ожидается счёт/акт, поэтому пока только план</x:t>
        </x:is>
      </x:c>
    </x:row>
    <x:row r="210">
      <x:c r="A210" s="2" t="n">
        <x:v>209</x:v>
      </x:c>
      <x:c r="B210" s="2" t="inlineStr">
        <x:is>
          <x:t xml:space="preserve">PRJ-301</x:t>
        </x:is>
      </x:c>
      <x:c r="C210" s="2" t="inlineStr">
        <x:is>
          <x:t xml:space="preserve">2025-09</x:t>
        </x:is>
      </x:c>
      <x:c r="D210" s="2" t="inlineStr">
        <x:is>
          <x:t xml:space="preserve">Planned</x:t>
        </x:is>
      </x:c>
      <x:c r="E210" s="3" t="inlineStr">
        <x:is>
          <x:t xml:space="preserve">Команда</x:t>
        </x:is>
      </x:c>
      <x:c r="F210" s="3" t="inlineStr">
        <x:is>
          <x:t xml:space="preserve">Обучение/курсы</x:t>
        </x:is>
      </x:c>
      <x:c r="G210" s="2" t="inlineStr">
        <x:is>
          <x:t xml:space="preserve">PM</x:t>
        </x:is>
      </x:c>
      <x:c r="H210" s="4" t="n">
        <x:v>24400</x:v>
      </x:c>
      <x:c r="I210" s="4" t="n"/>
      <x:c r="J210" s="4">
        <x:f>IF($I210="","",$I210-$H210)</x:f>
      </x:c>
      <x:c r="K210" s="5">
        <x:f>IF($I210="","",($I210-$H210)/$H210)</x:f>
      </x:c>
      <x:c r="L210" s="2">
        <x:f>IF($I210="","Planned",IF($I210&gt;$H210,"Over",IF($I210&lt;$H210,"Under","On plan")))</x:f>
      </x:c>
      <x:c r="M210" s="2">
        <x:f>IF($I210="","",IF(AND($J210&gt;50000,$K210&gt;0.2),"CRITICAL",""))</x:f>
      </x:c>
      <x:c r="N210" s="2" t="inlineStr">
        <x:is>
          <x:t xml:space="preserve">No</x:t>
        </x:is>
      </x:c>
      <x:c r="O210" s="3" t="inlineStr">
        <x:is>
          <x:t xml:space="preserve">факт не заполнен: месяц в плане, ожидаем документы от поставщика</x:t>
        </x:is>
      </x:c>
    </x:row>
    <x:row r="211">
      <x:c r="A211" s="2" t="n">
        <x:v>210</x:v>
      </x:c>
      <x:c r="B211" s="2" t="inlineStr">
        <x:is>
          <x:t xml:space="preserve">PRJ-301</x:t>
        </x:is>
      </x:c>
      <x:c r="C211" s="2" t="inlineStr">
        <x:is>
          <x:t xml:space="preserve">2025-09</x:t>
        </x:is>
      </x:c>
      <x:c r="D211" s="2" t="inlineStr">
        <x:is>
          <x:t xml:space="preserve">Planned</x:t>
        </x:is>
      </x:c>
      <x:c r="E211" s="3" t="inlineStr">
        <x:is>
          <x:t xml:space="preserve">Команда</x:t>
        </x:is>
      </x:c>
      <x:c r="F211" s="3" t="inlineStr">
        <x:is>
          <x:t xml:space="preserve">Мероприятия/конференции</x:t>
        </x:is>
      </x:c>
      <x:c r="G211" s="2" t="inlineStr">
        <x:is>
          <x:t xml:space="preserve">PM</x:t>
        </x:is>
      </x:c>
      <x:c r="H211" s="4" t="n">
        <x:v>68000</x:v>
      </x:c>
      <x:c r="I211" s="4" t="n"/>
      <x:c r="J211" s="4">
        <x:f>IF($I211="","",$I211-$H211)</x:f>
      </x:c>
      <x:c r="K211" s="5">
        <x:f>IF($I211="","",($I211-$H211)/$H211)</x:f>
      </x:c>
      <x:c r="L211" s="2">
        <x:f>IF($I211="","Planned",IF($I211&gt;$H211,"Over",IF($I211&lt;$H211,"Under","On plan")))</x:f>
      </x:c>
      <x:c r="M211" s="2">
        <x:f>IF($I211="","",IF(AND($J211&gt;50000,$K211&gt;0.2),"CRITICAL",""))</x:f>
      </x:c>
      <x:c r="N211" s="2" t="inlineStr">
        <x:is>
          <x:t xml:space="preserve">No</x:t>
        </x:is>
      </x:c>
      <x:c r="O211" s="3" t="inlineStr">
        <x:is>
          <x:t xml:space="preserve">факт не заполнен: ожидается счёт/акт, поэтому пока только план</x:t>
        </x:is>
      </x:c>
    </x:row>
    <x:row r="212">
      <x:c r="A212" s="2" t="n">
        <x:v>211</x:v>
      </x:c>
      <x:c r="B212" s="2" t="inlineStr">
        <x:is>
          <x:t xml:space="preserve">PRJ-301</x:t>
        </x:is>
      </x:c>
      <x:c r="C212" s="2" t="inlineStr">
        <x:is>
          <x:t xml:space="preserve">2025-09</x:t>
        </x:is>
      </x:c>
      <x:c r="D212" s="2" t="inlineStr">
        <x:is>
          <x:t xml:space="preserve">Planned</x:t>
        </x:is>
      </x:c>
      <x:c r="E212" s="3" t="inlineStr">
        <x:is>
          <x:t xml:space="preserve">Команда</x:t>
        </x:is>
      </x:c>
      <x:c r="F212" s="3" t="inlineStr">
        <x:is>
          <x:t xml:space="preserve">Командировки/проезд</x:t>
        </x:is>
      </x:c>
      <x:c r="G212" s="2" t="inlineStr">
        <x:is>
          <x:t xml:space="preserve">PM</x:t>
        </x:is>
      </x:c>
      <x:c r="H212" s="4" t="n">
        <x:v>32800</x:v>
      </x:c>
      <x:c r="I212" s="4" t="n"/>
      <x:c r="J212" s="4">
        <x:f>IF($I212="","",$I212-$H212)</x:f>
      </x:c>
      <x:c r="K212" s="5">
        <x:f>IF($I212="","",($I212-$H212)/$H212)</x:f>
      </x:c>
      <x:c r="L212" s="2">
        <x:f>IF($I212="","Planned",IF($I212&gt;$H212,"Over",IF($I212&lt;$H212,"Under","On plan")))</x:f>
      </x:c>
      <x:c r="M212" s="2">
        <x:f>IF($I212="","",IF(AND($J212&gt;50000,$K212&gt;0.2),"CRITICAL",""))</x:f>
      </x:c>
      <x:c r="N212" s="2" t="inlineStr">
        <x:is>
          <x:t xml:space="preserve">No</x:t>
        </x:is>
      </x:c>
      <x:c r="O212" s="3" t="inlineStr">
        <x:is>
          <x:t xml:space="preserve">факт не заполнен: счёт ещё не получен, данные появятся после закрытия месяца</x:t>
        </x:is>
      </x:c>
    </x:row>
    <x:row r="213">
      <x:c r="A213" s="2" t="n">
        <x:v>212</x:v>
      </x:c>
      <x:c r="B213" s="2" t="inlineStr">
        <x:is>
          <x:t xml:space="preserve">PRJ-301</x:t>
        </x:is>
      </x:c>
      <x:c r="C213" s="2" t="inlineStr">
        <x:is>
          <x:t xml:space="preserve">2025-09</x:t>
        </x:is>
      </x:c>
      <x:c r="D213" s="2" t="inlineStr">
        <x:is>
          <x:t xml:space="preserve">Planned</x:t>
        </x:is>
      </x:c>
      <x:c r="E213" s="3" t="inlineStr">
        <x:is>
          <x:t xml:space="preserve">Операционные</x:t>
        </x:is>
      </x:c>
      <x:c r="F213" s="3" t="inlineStr">
        <x:is>
          <x:t xml:space="preserve">Непредвиденные/резерв</x:t>
        </x:is>
      </x:c>
      <x:c r="G213" s="2" t="inlineStr">
        <x:is>
          <x:t xml:space="preserve">PM</x:t>
        </x:is>
      </x:c>
      <x:c r="H213" s="4" t="n">
        <x:v>39600</x:v>
      </x:c>
      <x:c r="I213" s="4" t="n"/>
      <x:c r="J213" s="4">
        <x:f>IF($I213="","",$I213-$H213)</x:f>
      </x:c>
      <x:c r="K213" s="5">
        <x:f>IF($I213="","",($I213-$H213)/$H213)</x:f>
      </x:c>
      <x:c r="L213" s="2">
        <x:f>IF($I213="","Planned",IF($I213&gt;$H213,"Over",IF($I213&lt;$H213,"Under","On plan")))</x:f>
      </x:c>
      <x:c r="M213" s="2">
        <x:f>IF($I213="","",IF(AND($J213&gt;50000,$K213&gt;0.2),"CRITICAL",""))</x:f>
      </x:c>
      <x:c r="N213" s="2" t="inlineStr">
        <x:is>
          <x:t xml:space="preserve">No</x:t>
        </x:is>
      </x:c>
      <x:c r="O213" s="3" t="inlineStr">
        <x:is>
          <x:t xml:space="preserve">факт не заполнен: месяц в плане, ожидаем документы от поставщика</x:t>
        </x:is>
      </x:c>
    </x:row>
    <x:row r="214">
      <x:c r="A214" s="2" t="n">
        <x:v>213</x:v>
      </x:c>
      <x:c r="B214" s="2" t="inlineStr">
        <x:is>
          <x:t xml:space="preserve">PRJ-301</x:t>
        </x:is>
      </x:c>
      <x:c r="C214" s="2" t="inlineStr">
        <x:is>
          <x:t xml:space="preserve">2025-09</x:t>
        </x:is>
      </x:c>
      <x:c r="D214" s="2" t="inlineStr">
        <x:is>
          <x:t xml:space="preserve">Planned</x:t>
        </x:is>
      </x:c>
      <x:c r="E214" s="3" t="inlineStr">
        <x:is>
          <x:t xml:space="preserve">Операционные</x:t>
        </x:is>
      </x:c>
      <x:c r="F214" s="3" t="inlineStr">
        <x:is>
          <x:t xml:space="preserve">Печать/полиграфия</x:t>
        </x:is>
      </x:c>
      <x:c r="G214" s="2" t="inlineStr">
        <x:is>
          <x:t xml:space="preserve">Marketing</x:t>
        </x:is>
      </x:c>
      <x:c r="H214" s="4" t="n">
        <x:v>8700</x:v>
      </x:c>
      <x:c r="I214" s="4" t="n"/>
      <x:c r="J214" s="4">
        <x:f>IF($I214="","",$I214-$H214)</x:f>
      </x:c>
      <x:c r="K214" s="5">
        <x:f>IF($I214="","",($I214-$H214)/$H214)</x:f>
      </x:c>
      <x:c r="L214" s="2">
        <x:f>IF($I214="","Planned",IF($I214&gt;$H214,"Over",IF($I214&lt;$H214,"Under","On plan")))</x:f>
      </x:c>
      <x:c r="M214" s="2">
        <x:f>IF($I214="","",IF(AND($J214&gt;50000,$K214&gt;0.2),"CRITICAL",""))</x:f>
      </x:c>
      <x:c r="N214" s="2" t="inlineStr">
        <x:is>
          <x:t xml:space="preserve">No</x:t>
        </x:is>
      </x:c>
      <x:c r="O214" s="3" t="inlineStr">
        <x:is>
          <x:t xml:space="preserve">факт не заполнен: ожидается счёт/акт, поэтому пока только план</x:t>
        </x:is>
      </x:c>
    </x:row>
    <x:row r="215">
      <x:c r="A215" s="2" t="n">
        <x:v>214</x:v>
      </x:c>
      <x:c r="B215" s="2" t="inlineStr">
        <x:is>
          <x:t xml:space="preserve">PRJ-301</x:t>
        </x:is>
      </x:c>
      <x:c r="C215" s="2" t="inlineStr">
        <x:is>
          <x:t xml:space="preserve">2025-09</x:t>
        </x:is>
      </x:c>
      <x:c r="D215" s="2" t="inlineStr">
        <x:is>
          <x:t xml:space="preserve">Planned</x:t>
        </x:is>
      </x:c>
      <x:c r="E215" s="3" t="inlineStr">
        <x:is>
          <x:t xml:space="preserve">Операционные</x:t>
        </x:is>
      </x:c>
      <x:c r="F215" s="3" t="inlineStr">
        <x:is>
          <x:t xml:space="preserve">Сервисы обратной связи (опросы)</x:t>
        </x:is>
      </x:c>
      <x:c r="G215" s="2" t="inlineStr">
        <x:is>
          <x:t xml:space="preserve">Analyst</x:t>
        </x:is>
      </x:c>
      <x:c r="H215" s="4" t="n">
        <x:v>7900</x:v>
      </x:c>
      <x:c r="I215" s="4" t="n"/>
      <x:c r="J215" s="4">
        <x:f>IF($I215="","",$I215-$H215)</x:f>
      </x:c>
      <x:c r="K215" s="5">
        <x:f>IF($I215="","",($I215-$H215)/$H215)</x:f>
      </x:c>
      <x:c r="L215" s="2">
        <x:f>IF($I215="","Planned",IF($I215&gt;$H215,"Over",IF($I215&lt;$H215,"Under","On plan")))</x:f>
      </x:c>
      <x:c r="M215" s="2">
        <x:f>IF($I215="","",IF(AND($J215&gt;50000,$K215&gt;0.2),"CRITICAL",""))</x:f>
      </x:c>
      <x:c r="N215" s="2" t="inlineStr">
        <x:is>
          <x:t xml:space="preserve">No</x:t>
        </x:is>
      </x:c>
      <x:c r="O215" s="3" t="inlineStr">
        <x:is>
          <x:t xml:space="preserve">факт не заполнен: счёт ещё не получен, данные появятся после закрытия месяца</x:t>
        </x:is>
      </x:c>
    </x:row>
    <x:row r="216">
      <x:c r="A216" s="2" t="n">
        <x:v>215</x:v>
      </x:c>
      <x:c r="B216" s="2" t="inlineStr">
        <x:is>
          <x:t xml:space="preserve">PRJ-301</x:t>
        </x:is>
      </x:c>
      <x:c r="C216" s="2" t="inlineStr">
        <x:is>
          <x:t xml:space="preserve">2025-09</x:t>
        </x:is>
      </x:c>
      <x:c r="D216" s="2" t="inlineStr">
        <x:is>
          <x:t xml:space="preserve">Planned</x:t>
        </x:is>
      </x:c>
      <x:c r="E216" s="3" t="inlineStr">
        <x:is>
          <x:t xml:space="preserve">Операционные</x:t>
        </x:is>
      </x:c>
      <x:c r="F216" s="3" t="inlineStr">
        <x:is>
          <x:t xml:space="preserve">Платежи/комиссии</x:t>
        </x:is>
      </x:c>
      <x:c r="G216" s="2" t="inlineStr">
        <x:is>
          <x:t xml:space="preserve">Admin</x:t>
        </x:is>
      </x:c>
      <x:c r="H216" s="4" t="n">
        <x:v>5200</x:v>
      </x:c>
      <x:c r="I216" s="4" t="n"/>
      <x:c r="J216" s="4">
        <x:f>IF($I216="","",$I216-$H216)</x:f>
      </x:c>
      <x:c r="K216" s="5">
        <x:f>IF($I216="","",($I216-$H216)/$H216)</x:f>
      </x:c>
      <x:c r="L216" s="2">
        <x:f>IF($I216="","Planned",IF($I216&gt;$H216,"Over",IF($I216&lt;$H216,"Under","On plan")))</x:f>
      </x:c>
      <x:c r="M216" s="2">
        <x:f>IF($I216="","",IF(AND($J216&gt;50000,$K216&gt;0.2),"CRITICAL",""))</x:f>
      </x:c>
      <x:c r="N216" s="2" t="inlineStr">
        <x:is>
          <x:t xml:space="preserve">No</x:t>
        </x:is>
      </x:c>
      <x:c r="O216" s="3" t="inlineStr">
        <x:is>
          <x:t xml:space="preserve">факт не заполнен: ожидается счёт/акт, поэтому пока только план</x:t>
        </x:is>
      </x:c>
    </x:row>
    <x:row r="217">
      <x:c r="A217" s="2" t="n">
        <x:v>216</x:v>
      </x:c>
      <x:c r="B217" s="2" t="inlineStr">
        <x:is>
          <x:t xml:space="preserve">PRJ-301</x:t>
        </x:is>
      </x:c>
      <x:c r="C217" s="2" t="inlineStr">
        <x:is>
          <x:t xml:space="preserve">2025-09</x:t>
        </x:is>
      </x:c>
      <x:c r="D217" s="2" t="inlineStr">
        <x:is>
          <x:t xml:space="preserve">Planned</x:t>
        </x:is>
      </x:c>
      <x:c r="E217" s="3" t="inlineStr">
        <x:is>
          <x:t xml:space="preserve">Безопасность</x:t>
        </x:is>
      </x:c>
      <x:c r="F217" s="3" t="inlineStr">
        <x:is>
          <x:t xml:space="preserve">Пентест/аудит</x:t>
        </x:is>
      </x:c>
      <x:c r="G217" s="2" t="inlineStr">
        <x:is>
          <x:t xml:space="preserve">DevOps</x:t>
        </x:is>
      </x:c>
      <x:c r="H217" s="4" t="n">
        <x:v>96000</x:v>
      </x:c>
      <x:c r="I217" s="4" t="n"/>
      <x:c r="J217" s="4">
        <x:f>IF($I217="","",$I217-$H217)</x:f>
      </x:c>
      <x:c r="K217" s="5">
        <x:f>IF($I217="","",($I217-$H217)/$H217)</x:f>
      </x:c>
      <x:c r="L217" s="2">
        <x:f>IF($I217="","Planned",IF($I217&gt;$H217,"Over",IF($I217&lt;$H217,"Under","On plan")))</x:f>
      </x:c>
      <x:c r="M217" s="2">
        <x:f>IF($I217="","",IF(AND($J217&gt;50000,$K217&gt;0.2),"CRITICAL",""))</x:f>
      </x:c>
      <x:c r="N217" s="2" t="inlineStr">
        <x:is>
          <x:t xml:space="preserve">No</x:t>
        </x:is>
      </x:c>
      <x:c r="O217" s="3" t="inlineStr">
        <x:is>
          <x:t xml:space="preserve">факт не заполнен: расходы запланированы, но оплат ещё не было</x:t>
        </x:is>
      </x:c>
    </x:row>
    <x:row r="218">
      <x:c r="A218" s="2" t="n">
        <x:v>217</x:v>
      </x:c>
      <x:c r="B218" s="2" t="inlineStr">
        <x:is>
          <x:t xml:space="preserve">PRJ-301</x:t>
        </x:is>
      </x:c>
      <x:c r="C218" s="2" t="inlineStr">
        <x:is>
          <x:t xml:space="preserve">2025-09</x:t>
        </x:is>
      </x:c>
      <x:c r="D218" s="2" t="inlineStr">
        <x:is>
          <x:t xml:space="preserve">Planned</x:t>
        </x:is>
      </x:c>
      <x:c r="E218" s="3" t="inlineStr">
        <x:is>
          <x:t xml:space="preserve">Безопасность</x:t>
        </x:is>
      </x:c>
      <x:c r="F218" s="3" t="inlineStr">
        <x:is>
          <x:t xml:space="preserve">Сканер уязвимостей</x:t>
        </x:is>
      </x:c>
      <x:c r="G218" s="2" t="inlineStr">
        <x:is>
          <x:t xml:space="preserve">DevOps</x:t>
        </x:is>
      </x:c>
      <x:c r="H218" s="4" t="n">
        <x:v>36500</x:v>
      </x:c>
      <x:c r="I218" s="4" t="n"/>
      <x:c r="J218" s="4">
        <x:f>IF($I218="","",$I218-$H218)</x:f>
      </x:c>
      <x:c r="K218" s="5">
        <x:f>IF($I218="","",($I218-$H218)/$H218)</x:f>
      </x:c>
      <x:c r="L218" s="2">
        <x:f>IF($I218="","Planned",IF($I218&gt;$H218,"Over",IF($I218&lt;$H218,"Under","On plan")))</x:f>
      </x:c>
      <x:c r="M218" s="2">
        <x:f>IF($I218="","",IF(AND($J218&gt;50000,$K218&gt;0.2),"CRITICAL",""))</x:f>
      </x:c>
      <x:c r="N218" s="2" t="inlineStr">
        <x:is>
          <x:t xml:space="preserve">No</x:t>
        </x:is>
      </x:c>
      <x:c r="O218" s="3" t="inlineStr">
        <x:is>
          <x:t xml:space="preserve">факт не заполнен: ожидается счёт/акт, поэтому пока только план</x:t>
        </x:is>
      </x:c>
    </x:row>
    <x:row r="219">
      <x:c r="A219" s="2" t="n">
        <x:v>218</x:v>
      </x:c>
      <x:c r="B219" s="2" t="inlineStr">
        <x:is>
          <x:t xml:space="preserve">PRJ-301</x:t>
        </x:is>
      </x:c>
      <x:c r="C219" s="2" t="inlineStr">
        <x:is>
          <x:t xml:space="preserve">2025-09</x:t>
        </x:is>
      </x:c>
      <x:c r="D219" s="2" t="inlineStr">
        <x:is>
          <x:t xml:space="preserve">Planned</x:t>
        </x:is>
      </x:c>
      <x:c r="E219" s="3" t="inlineStr">
        <x:is>
          <x:t xml:space="preserve">Тестирование</x:t>
        </x:is>
      </x:c>
      <x:c r="F219" s="3" t="inlineStr">
        <x:is>
          <x:t xml:space="preserve">Тестовые аккаунты/подписки</x:t>
        </x:is>
      </x:c>
      <x:c r="G219" s="2" t="inlineStr">
        <x:is>
          <x:t xml:space="preserve">QA</x:t>
        </x:is>
      </x:c>
      <x:c r="H219" s="4" t="n">
        <x:v>2800</x:v>
      </x:c>
      <x:c r="I219" s="4" t="n"/>
      <x:c r="J219" s="4">
        <x:f>IF($I219="","",$I219-$H219)</x:f>
      </x:c>
      <x:c r="K219" s="5">
        <x:f>IF($I219="","",($I219-$H219)/$H219)</x:f>
      </x:c>
      <x:c r="L219" s="2">
        <x:f>IF($I219="","Planned",IF($I219&gt;$H219,"Over",IF($I219&lt;$H219,"Under","On plan")))</x:f>
      </x:c>
      <x:c r="M219" s="2">
        <x:f>IF($I219="","",IF(AND($J219&gt;50000,$K219&gt;0.2),"CRITICAL",""))</x:f>
      </x:c>
      <x:c r="N219" s="2" t="inlineStr">
        <x:is>
          <x:t xml:space="preserve">No</x:t>
        </x:is>
      </x:c>
      <x:c r="O219" s="3" t="inlineStr">
        <x:is>
          <x:t xml:space="preserve">факт не заполнен: расходы запланированы, но оплат ещё не было</x:t>
        </x:is>
      </x:c>
    </x:row>
    <x:row r="220">
      <x:c r="A220" s="2" t="n">
        <x:v>219</x:v>
      </x:c>
      <x:c r="B220" s="2" t="inlineStr">
        <x:is>
          <x:t xml:space="preserve">PRJ-301</x:t>
        </x:is>
      </x:c>
      <x:c r="C220" s="2" t="inlineStr">
        <x:is>
          <x:t xml:space="preserve">2025-09</x:t>
        </x:is>
      </x:c>
      <x:c r="D220" s="2" t="inlineStr">
        <x:is>
          <x:t xml:space="preserve">Planned</x:t>
        </x:is>
      </x:c>
      <x:c r="E220" s="3" t="inlineStr">
        <x:is>
          <x:t xml:space="preserve">Тестирование</x:t>
        </x:is>
      </x:c>
      <x:c r="F220" s="3" t="inlineStr">
        <x:is>
          <x:t xml:space="preserve">Сервис баг-трекинга (доп.)</x:t>
        </x:is>
      </x:c>
      <x:c r="G220" s="2" t="inlineStr">
        <x:is>
          <x:t xml:space="preserve">QA</x:t>
        </x:is>
      </x:c>
      <x:c r="H220" s="4" t="n">
        <x:v>4800</x:v>
      </x:c>
      <x:c r="I220" s="4" t="n"/>
      <x:c r="J220" s="4">
        <x:f>IF($I220="","",$I220-$H220)</x:f>
      </x:c>
      <x:c r="K220" s="5">
        <x:f>IF($I220="","",($I220-$H220)/$H220)</x:f>
      </x:c>
      <x:c r="L220" s="2">
        <x:f>IF($I220="","Planned",IF($I220&gt;$H220,"Over",IF($I220&lt;$H220,"Under","On plan")))</x:f>
      </x:c>
      <x:c r="M220" s="2">
        <x:f>IF($I220="","",IF(AND($J220&gt;50000,$K220&gt;0.2),"CRITICAL",""))</x:f>
      </x:c>
      <x:c r="N220" s="2" t="inlineStr">
        <x:is>
          <x:t xml:space="preserve">No</x:t>
        </x:is>
      </x:c>
      <x:c r="O220" s="3" t="inlineStr">
        <x:is>
          <x:t xml:space="preserve">факт не заполнен: ожидается счёт/акт, поэтому пока только план</x:t>
        </x:is>
      </x:c>
    </x:row>
    <x:row r="221">
      <x:c r="A221" s="2" t="n">
        <x:v>220</x:v>
      </x:c>
      <x:c r="B221" s="2" t="inlineStr">
        <x:is>
          <x:t xml:space="preserve">PRJ-301</x:t>
        </x:is>
      </x:c>
      <x:c r="C221" s="2" t="inlineStr">
        <x:is>
          <x:t xml:space="preserve">2025-09</x:t>
        </x:is>
      </x:c>
      <x:c r="D221" s="2" t="inlineStr">
        <x:is>
          <x:t xml:space="preserve">Planned</x:t>
        </x:is>
      </x:c>
      <x:c r="E221" s="3" t="inlineStr">
        <x:is>
          <x:t xml:space="preserve">Контент</x:t>
        </x:is>
      </x:c>
      <x:c r="F221" s="3" t="inlineStr">
        <x:is>
          <x:t xml:space="preserve">Запись видео/монтаж</x:t>
        </x:is>
      </x:c>
      <x:c r="G221" s="2" t="inlineStr">
        <x:is>
          <x:t xml:space="preserve">Marketing</x:t>
        </x:is>
      </x:c>
      <x:c r="H221" s="4" t="n">
        <x:v>76400</x:v>
      </x:c>
      <x:c r="I221" s="4" t="n"/>
      <x:c r="J221" s="4">
        <x:f>IF($I221="","",$I221-$H221)</x:f>
      </x:c>
      <x:c r="K221" s="5">
        <x:f>IF($I221="","",($I221-$H221)/$H221)</x:f>
      </x:c>
      <x:c r="L221" s="2">
        <x:f>IF($I221="","Planned",IF($I221&gt;$H221,"Over",IF($I221&lt;$H221,"Under","On plan")))</x:f>
      </x:c>
      <x:c r="M221" s="2">
        <x:f>IF($I221="","",IF(AND($J221&gt;50000,$K221&gt;0.2),"CRITICAL",""))</x:f>
      </x:c>
      <x:c r="N221" s="2" t="inlineStr">
        <x:is>
          <x:t xml:space="preserve">No</x:t>
        </x:is>
      </x:c>
      <x:c r="O221" s="3" t="inlineStr">
        <x:is>
          <x:t xml:space="preserve">факт не заполнен: ожидается счёт/акт, поэтому пока только план</x:t>
        </x:is>
      </x:c>
    </x:row>
    <x:row r="222">
      <x:c r="A222" s="2" t="n">
        <x:v>221</x:v>
      </x:c>
      <x:c r="B222" s="2" t="inlineStr">
        <x:is>
          <x:t xml:space="preserve">PRJ-301</x:t>
        </x:is>
      </x:c>
      <x:c r="C222" s="2" t="inlineStr">
        <x:is>
          <x:t xml:space="preserve">2025-09</x:t>
        </x:is>
      </x:c>
      <x:c r="D222" s="2" t="inlineStr">
        <x:is>
          <x:t xml:space="preserve">Planned</x:t>
        </x:is>
      </x:c>
      <x:c r="E222" s="3" t="inlineStr">
        <x:is>
          <x:t xml:space="preserve">Контент</x:t>
        </x:is>
      </x:c>
      <x:c r="F222" s="3" t="inlineStr">
        <x:is>
          <x:t xml:space="preserve">Озвучка/диктор</x:t>
        </x:is>
      </x:c>
      <x:c r="G222" s="2" t="inlineStr">
        <x:is>
          <x:t xml:space="preserve">Marketing</x:t>
        </x:is>
      </x:c>
      <x:c r="H222" s="4" t="n">
        <x:v>36000</x:v>
      </x:c>
      <x:c r="I222" s="4" t="n"/>
      <x:c r="J222" s="4">
        <x:f>IF($I222="","",$I222-$H222)</x:f>
      </x:c>
      <x:c r="K222" s="5">
        <x:f>IF($I222="","",($I222-$H222)/$H222)</x:f>
      </x:c>
      <x:c r="L222" s="2">
        <x:f>IF($I222="","Planned",IF($I222&gt;$H222,"Over",IF($I222&lt;$H222,"Under","On plan")))</x:f>
      </x:c>
      <x:c r="M222" s="2">
        <x:f>IF($I222="","",IF(AND($J222&gt;50000,$K222&gt;0.2),"CRITICAL",""))</x:f>
      </x:c>
      <x:c r="N222" s="2" t="inlineStr">
        <x:is>
          <x:t xml:space="preserve">No</x:t>
        </x:is>
      </x:c>
      <x:c r="O222" s="3" t="inlineStr">
        <x:is>
          <x:t xml:space="preserve">факт не заполнен: месяц в плане, ожидаем документы от поставщика</x:t>
        </x:is>
      </x:c>
    </x:row>
    <x:row r="223">
      <x:c r="A223" s="2" t="n">
        <x:v>222</x:v>
      </x:c>
      <x:c r="B223" s="2" t="inlineStr">
        <x:is>
          <x:t xml:space="preserve">PRJ-301</x:t>
        </x:is>
      </x:c>
      <x:c r="C223" s="2" t="inlineStr">
        <x:is>
          <x:t xml:space="preserve">2025-09</x:t>
        </x:is>
      </x:c>
      <x:c r="D223" s="2" t="inlineStr">
        <x:is>
          <x:t xml:space="preserve">Planned</x:t>
        </x:is>
      </x:c>
      <x:c r="E223" s="3" t="inlineStr">
        <x:is>
          <x:t xml:space="preserve">Контент</x:t>
        </x:is>
      </x:c>
      <x:c r="F223" s="3" t="inlineStr">
        <x:is>
          <x:t xml:space="preserve">Фотосъёмка/материалы</x:t>
        </x:is>
      </x:c>
      <x:c r="G223" s="2" t="inlineStr">
        <x:is>
          <x:t xml:space="preserve">Marketing</x:t>
        </x:is>
      </x:c>
      <x:c r="H223" s="4" t="n">
        <x:v>17600</x:v>
      </x:c>
      <x:c r="I223" s="4" t="n"/>
      <x:c r="J223" s="4">
        <x:f>IF($I223="","",$I223-$H223)</x:f>
      </x:c>
      <x:c r="K223" s="5">
        <x:f>IF($I223="","",($I223-$H223)/$H223)</x:f>
      </x:c>
      <x:c r="L223" s="2">
        <x:f>IF($I223="","Planned",IF($I223&gt;$H223,"Over",IF($I223&lt;$H223,"Under","On plan")))</x:f>
      </x:c>
      <x:c r="M223" s="2">
        <x:f>IF($I223="","",IF(AND($J223&gt;50000,$K223&gt;0.2),"CRITICAL",""))</x:f>
      </x:c>
      <x:c r="N223" s="2" t="inlineStr">
        <x:is>
          <x:t xml:space="preserve">No</x:t>
        </x:is>
      </x:c>
      <x:c r="O223" s="3" t="inlineStr">
        <x:is>
          <x:t xml:space="preserve">факт не заполнен: месяц в плане, ожидаем документы от поставщика</x:t>
        </x:is>
      </x:c>
    </x:row>
    <x:row r="224">
      <x:c r="A224" s="2" t="n">
        <x:v>223</x:v>
      </x:c>
      <x:c r="B224" s="2" t="inlineStr">
        <x:is>
          <x:t xml:space="preserve">PRJ-301</x:t>
        </x:is>
      </x:c>
      <x:c r="C224" s="2" t="inlineStr">
        <x:is>
          <x:t xml:space="preserve">2025-09</x:t>
        </x:is>
      </x:c>
      <x:c r="D224" s="2" t="inlineStr">
        <x:is>
          <x:t xml:space="preserve">Planned</x:t>
        </x:is>
      </x:c>
      <x:c r="E224" s="3" t="inlineStr">
        <x:is>
          <x:t xml:space="preserve">Интеграции</x:t>
        </x:is>
      </x:c>
      <x:c r="F224" s="3" t="inlineStr">
        <x:is>
          <x:t xml:space="preserve">API-подписки (платные)</x:t>
        </x:is>
      </x:c>
      <x:c r="G224" s="2" t="inlineStr">
        <x:is>
          <x:t xml:space="preserve">Backend</x:t>
        </x:is>
      </x:c>
      <x:c r="H224" s="4" t="n">
        <x:v>29800</x:v>
      </x:c>
      <x:c r="I224" s="4" t="n"/>
      <x:c r="J224" s="4">
        <x:f>IF($I224="","",$I224-$H224)</x:f>
      </x:c>
      <x:c r="K224" s="5">
        <x:f>IF($I224="","",($I224-$H224)/$H224)</x:f>
      </x:c>
      <x:c r="L224" s="2">
        <x:f>IF($I224="","Planned",IF($I224&gt;$H224,"Over",IF($I224&lt;$H224,"Under","On plan")))</x:f>
      </x:c>
      <x:c r="M224" s="2">
        <x:f>IF($I224="","",IF(AND($J224&gt;50000,$K224&gt;0.2),"CRITICAL",""))</x:f>
      </x:c>
      <x:c r="N224" s="2" t="inlineStr">
        <x:is>
          <x:t xml:space="preserve">No</x:t>
        </x:is>
      </x:c>
      <x:c r="O224" s="3" t="inlineStr">
        <x:is>
          <x:t xml:space="preserve">факт не заполнен: расходы запланированы, но оплат ещё не было</x:t>
        </x:is>
      </x:c>
    </x:row>
    <x:row r="225">
      <x:c r="A225" s="2" t="n">
        <x:v>224</x:v>
      </x:c>
      <x:c r="B225" s="2" t="inlineStr">
        <x:is>
          <x:t xml:space="preserve">PRJ-301</x:t>
        </x:is>
      </x:c>
      <x:c r="C225" s="2" t="inlineStr">
        <x:is>
          <x:t xml:space="preserve">2025-09</x:t>
        </x:is>
      </x:c>
      <x:c r="D225" s="2" t="inlineStr">
        <x:is>
          <x:t xml:space="preserve">Planned</x:t>
        </x:is>
      </x:c>
      <x:c r="E225" s="3" t="inlineStr">
        <x:is>
          <x:t xml:space="preserve">Интеграции</x:t>
        </x:is>
      </x:c>
      <x:c r="F225" s="3" t="inlineStr">
        <x:is>
          <x:t xml:space="preserve">SMS/телефония</x:t>
        </x:is>
      </x:c>
      <x:c r="G225" s="2" t="inlineStr">
        <x:is>
          <x:t xml:space="preserve">Backend</x:t>
        </x:is>
      </x:c>
      <x:c r="H225" s="4" t="n">
        <x:v>8400</x:v>
      </x:c>
      <x:c r="I225" s="4" t="n"/>
      <x:c r="J225" s="4">
        <x:f>IF($I225="","",$I225-$H225)</x:f>
      </x:c>
      <x:c r="K225" s="5">
        <x:f>IF($I225="","",($I225-$H225)/$H225)</x:f>
      </x:c>
      <x:c r="L225" s="2">
        <x:f>IF($I225="","Planned",IF($I225&gt;$H225,"Over",IF($I225&lt;$H225,"Under","On plan")))</x:f>
      </x:c>
      <x:c r="M225" s="2">
        <x:f>IF($I225="","",IF(AND($J225&gt;50000,$K225&gt;0.2),"CRITICAL",""))</x:f>
      </x:c>
      <x:c r="N225" s="2" t="inlineStr">
        <x:is>
          <x:t xml:space="preserve">No</x:t>
        </x:is>
      </x:c>
      <x:c r="O225" s="3" t="inlineStr">
        <x:is>
          <x:t xml:space="preserve">факт не заполнен: месяц в плане, ожидаем документы от поставщика</x:t>
        </x:is>
      </x:c>
    </x:row>
    <x:row r="226">
      <x:c r="A226" s="2" t="n">
        <x:v>225</x:v>
      </x:c>
      <x:c r="B226" s="2" t="inlineStr">
        <x:is>
          <x:t xml:space="preserve">PRJ-301</x:t>
        </x:is>
      </x:c>
      <x:c r="C226" s="2" t="inlineStr">
        <x:is>
          <x:t xml:space="preserve">2025-09</x:t>
        </x:is>
      </x:c>
      <x:c r="D226" s="2" t="inlineStr">
        <x:is>
          <x:t xml:space="preserve">Planned</x:t>
        </x:is>
      </x:c>
      <x:c r="E226" s="3" t="inlineStr">
        <x:is>
          <x:t xml:space="preserve">Облако</x:t>
        </x:is>
      </x:c>
      <x:c r="F226" s="3" t="inlineStr">
        <x:is>
          <x:t xml:space="preserve">Облако: VM (compute)</x:t>
        </x:is>
      </x:c>
      <x:c r="G226" s="2" t="inlineStr">
        <x:is>
          <x:t xml:space="preserve">Team Lead</x:t>
        </x:is>
      </x:c>
      <x:c r="H226" s="4" t="n">
        <x:v>31600</x:v>
      </x:c>
      <x:c r="I226" s="4" t="n"/>
      <x:c r="J226" s="4">
        <x:f>IF($I226="","",$I226-$H226)</x:f>
      </x:c>
      <x:c r="K226" s="5">
        <x:f>IF($I226="","",($I226-$H226)/$H226)</x:f>
      </x:c>
      <x:c r="L226" s="2">
        <x:f>IF($I226="","Planned",IF($I226&gt;$H226,"Over",IF($I226&lt;$H226,"Under","On plan")))</x:f>
      </x:c>
      <x:c r="M226" s="2">
        <x:f>IF($I226="","",IF(AND($J226&gt;50000,$K226&gt;0.2),"CRITICAL",""))</x:f>
      </x:c>
      <x:c r="N226" s="2" t="inlineStr">
        <x:is>
          <x:t xml:space="preserve">No</x:t>
        </x:is>
      </x:c>
      <x:c r="O226" s="3" t="inlineStr">
        <x:is>
          <x:t xml:space="preserve">факт не заполнен: счёт ещё не получен, данные появятся после закрытия месяца</x:t>
        </x:is>
      </x:c>
    </x:row>
    <x:row r="227">
      <x:c r="A227" s="2" t="n">
        <x:v>226</x:v>
      </x:c>
      <x:c r="B227" s="2" t="inlineStr">
        <x:is>
          <x:t xml:space="preserve">PRJ-301</x:t>
        </x:is>
      </x:c>
      <x:c r="C227" s="2" t="inlineStr">
        <x:is>
          <x:t xml:space="preserve">2025-10</x:t>
        </x:is>
      </x:c>
      <x:c r="D227" s="2" t="inlineStr">
        <x:is>
          <x:t xml:space="preserve">Planned</x:t>
        </x:is>
      </x:c>
      <x:c r="E227" s="3" t="inlineStr">
        <x:is>
          <x:t xml:space="preserve">Юридическое</x:t>
        </x:is>
      </x:c>
      <x:c r="F227" s="3" t="inlineStr">
        <x:is>
          <x:t xml:space="preserve">Договоры/юридическая проверка</x:t>
        </x:is>
      </x:c>
      <x:c r="G227" s="2" t="inlineStr">
        <x:is>
          <x:t xml:space="preserve">PM</x:t>
        </x:is>
      </x:c>
      <x:c r="H227" s="4" t="n">
        <x:v>23500</x:v>
      </x:c>
      <x:c r="I227" s="4" t="n"/>
      <x:c r="J227" s="4">
        <x:f>IF($I227="","",$I227-$H227)</x:f>
      </x:c>
      <x:c r="K227" s="5">
        <x:f>IF($I227="","",($I227-$H227)/$H227)</x:f>
      </x:c>
      <x:c r="L227" s="2">
        <x:f>IF($I227="","Planned",IF($I227&gt;$H227,"Over",IF($I227&lt;$H227,"Under","On plan")))</x:f>
      </x:c>
      <x:c r="M227" s="2">
        <x:f>IF($I227="","",IF(AND($J227&gt;50000,$K227&gt;0.2),"CRITICAL",""))</x:f>
      </x:c>
      <x:c r="N227" s="2" t="inlineStr">
        <x:is>
          <x:t xml:space="preserve">No</x:t>
        </x:is>
      </x:c>
      <x:c r="O227" s="3" t="inlineStr">
        <x:is>
          <x:t xml:space="preserve">факт не заполнен: счёт ещё не получен, данные появятся после закрытия месяца</x:t>
        </x:is>
      </x:c>
    </x:row>
    <x:row r="228">
      <x:c r="A228" s="2" t="n">
        <x:v>227</x:v>
      </x:c>
      <x:c r="B228" s="2" t="inlineStr">
        <x:is>
          <x:t xml:space="preserve">PRJ-301</x:t>
        </x:is>
      </x:c>
      <x:c r="C228" s="2" t="inlineStr">
        <x:is>
          <x:t xml:space="preserve">2025-10</x:t>
        </x:is>
      </x:c>
      <x:c r="D228" s="2" t="inlineStr">
        <x:is>
          <x:t xml:space="preserve">Planned</x:t>
        </x:is>
      </x:c>
      <x:c r="E228" s="3" t="inlineStr">
        <x:is>
          <x:t xml:space="preserve">Команда</x:t>
        </x:is>
      </x:c>
      <x:c r="F228" s="3" t="inlineStr">
        <x:is>
          <x:t xml:space="preserve">Обучение/курсы</x:t>
        </x:is>
      </x:c>
      <x:c r="G228" s="2" t="inlineStr">
        <x:is>
          <x:t xml:space="preserve">PM</x:t>
        </x:is>
      </x:c>
      <x:c r="H228" s="4" t="n">
        <x:v>17400</x:v>
      </x:c>
      <x:c r="I228" s="4" t="n"/>
      <x:c r="J228" s="4">
        <x:f>IF($I228="","",$I228-$H228)</x:f>
      </x:c>
      <x:c r="K228" s="5">
        <x:f>IF($I228="","",($I228-$H228)/$H228)</x:f>
      </x:c>
      <x:c r="L228" s="2">
        <x:f>IF($I228="","Planned",IF($I228&gt;$H228,"Over",IF($I228&lt;$H228,"Under","On plan")))</x:f>
      </x:c>
      <x:c r="M228" s="2">
        <x:f>IF($I228="","",IF(AND($J228&gt;50000,$K228&gt;0.2),"CRITICAL",""))</x:f>
      </x:c>
      <x:c r="N228" s="2" t="inlineStr">
        <x:is>
          <x:t xml:space="preserve">No</x:t>
        </x:is>
      </x:c>
      <x:c r="O228" s="3" t="inlineStr">
        <x:is>
          <x:t xml:space="preserve">факт не заполнен: расходы запланированы, но оплат ещё не было</x:t>
        </x:is>
      </x:c>
    </x:row>
    <x:row r="229">
      <x:c r="A229" s="2" t="n">
        <x:v>228</x:v>
      </x:c>
      <x:c r="B229" s="2" t="inlineStr">
        <x:is>
          <x:t xml:space="preserve">PRJ-301</x:t>
        </x:is>
      </x:c>
      <x:c r="C229" s="2" t="inlineStr">
        <x:is>
          <x:t xml:space="preserve">2025-10</x:t>
        </x:is>
      </x:c>
      <x:c r="D229" s="2" t="inlineStr">
        <x:is>
          <x:t xml:space="preserve">Planned</x:t>
        </x:is>
      </x:c>
      <x:c r="E229" s="3" t="inlineStr">
        <x:is>
          <x:t xml:space="preserve">Команда</x:t>
        </x:is>
      </x:c>
      <x:c r="F229" s="3" t="inlineStr">
        <x:is>
          <x:t xml:space="preserve">Мероприятия/конференции</x:t>
        </x:is>
      </x:c>
      <x:c r="G229" s="2" t="inlineStr">
        <x:is>
          <x:t xml:space="preserve">PM</x:t>
        </x:is>
      </x:c>
      <x:c r="H229" s="4" t="n">
        <x:v>42900</x:v>
      </x:c>
      <x:c r="I229" s="4" t="n"/>
      <x:c r="J229" s="4">
        <x:f>IF($I229="","",$I229-$H229)</x:f>
      </x:c>
      <x:c r="K229" s="5">
        <x:f>IF($I229="","",($I229-$H229)/$H229)</x:f>
      </x:c>
      <x:c r="L229" s="2">
        <x:f>IF($I229="","Planned",IF($I229&gt;$H229,"Over",IF($I229&lt;$H229,"Under","On plan")))</x:f>
      </x:c>
      <x:c r="M229" s="2">
        <x:f>IF($I229="","",IF(AND($J229&gt;50000,$K229&gt;0.2),"CRITICAL",""))</x:f>
      </x:c>
      <x:c r="N229" s="2" t="inlineStr">
        <x:is>
          <x:t xml:space="preserve">No</x:t>
        </x:is>
      </x:c>
      <x:c r="O229" s="3" t="inlineStr">
        <x:is>
          <x:t xml:space="preserve">факт не заполнен: счёт ещё не получен, данные появятся после закрытия месяца</x:t>
        </x:is>
      </x:c>
    </x:row>
    <x:row r="230">
      <x:c r="A230" s="2" t="n">
        <x:v>229</x:v>
      </x:c>
      <x:c r="B230" s="2" t="inlineStr">
        <x:is>
          <x:t xml:space="preserve">PRJ-301</x:t>
        </x:is>
      </x:c>
      <x:c r="C230" s="2" t="inlineStr">
        <x:is>
          <x:t xml:space="preserve">2025-10</x:t>
        </x:is>
      </x:c>
      <x:c r="D230" s="2" t="inlineStr">
        <x:is>
          <x:t xml:space="preserve">Planned</x:t>
        </x:is>
      </x:c>
      <x:c r="E230" s="3" t="inlineStr">
        <x:is>
          <x:t xml:space="preserve">Команда</x:t>
        </x:is>
      </x:c>
      <x:c r="F230" s="3" t="inlineStr">
        <x:is>
          <x:t xml:space="preserve">Командировки/проезд</x:t>
        </x:is>
      </x:c>
      <x:c r="G230" s="2" t="inlineStr">
        <x:is>
          <x:t xml:space="preserve">PM</x:t>
        </x:is>
      </x:c>
      <x:c r="H230" s="4" t="n">
        <x:v>7400</x:v>
      </x:c>
      <x:c r="I230" s="4" t="n"/>
      <x:c r="J230" s="4">
        <x:f>IF($I230="","",$I230-$H230)</x:f>
      </x:c>
      <x:c r="K230" s="5">
        <x:f>IF($I230="","",($I230-$H230)/$H230)</x:f>
      </x:c>
      <x:c r="L230" s="2">
        <x:f>IF($I230="","Planned",IF($I230&gt;$H230,"Over",IF($I230&lt;$H230,"Under","On plan")))</x:f>
      </x:c>
      <x:c r="M230" s="2">
        <x:f>IF($I230="","",IF(AND($J230&gt;50000,$K230&gt;0.2),"CRITICAL",""))</x:f>
      </x:c>
      <x:c r="N230" s="2" t="inlineStr">
        <x:is>
          <x:t xml:space="preserve">No</x:t>
        </x:is>
      </x:c>
      <x:c r="O230" s="3" t="inlineStr">
        <x:is>
          <x:t xml:space="preserve">факт не заполнен: счёт ещё не получен, данные появятся после закрытия месяца</x:t>
        </x:is>
      </x:c>
    </x:row>
    <x:row r="231">
      <x:c r="A231" s="2" t="n">
        <x:v>230</x:v>
      </x:c>
      <x:c r="B231" s="2" t="inlineStr">
        <x:is>
          <x:t xml:space="preserve">PRJ-301</x:t>
        </x:is>
      </x:c>
      <x:c r="C231" s="2" t="inlineStr">
        <x:is>
          <x:t xml:space="preserve">2025-10</x:t>
        </x:is>
      </x:c>
      <x:c r="D231" s="2" t="inlineStr">
        <x:is>
          <x:t xml:space="preserve">Planned</x:t>
        </x:is>
      </x:c>
      <x:c r="E231" s="3" t="inlineStr">
        <x:is>
          <x:t xml:space="preserve">Операционные</x:t>
        </x:is>
      </x:c>
      <x:c r="F231" s="3" t="inlineStr">
        <x:is>
          <x:t xml:space="preserve">Непредвиденные/резерв</x:t>
        </x:is>
      </x:c>
      <x:c r="G231" s="2" t="inlineStr">
        <x:is>
          <x:t xml:space="preserve">PM</x:t>
        </x:is>
      </x:c>
      <x:c r="H231" s="4" t="n">
        <x:v>58600</x:v>
      </x:c>
      <x:c r="I231" s="4" t="n"/>
      <x:c r="J231" s="4">
        <x:f>IF($I231="","",$I231-$H231)</x:f>
      </x:c>
      <x:c r="K231" s="5">
        <x:f>IF($I231="","",($I231-$H231)/$H231)</x:f>
      </x:c>
      <x:c r="L231" s="2">
        <x:f>IF($I231="","Planned",IF($I231&gt;$H231,"Over",IF($I231&lt;$H231,"Under","On plan")))</x:f>
      </x:c>
      <x:c r="M231" s="2">
        <x:f>IF($I231="","",IF(AND($J231&gt;50000,$K231&gt;0.2),"CRITICAL",""))</x:f>
      </x:c>
      <x:c r="N231" s="2" t="inlineStr">
        <x:is>
          <x:t xml:space="preserve">No</x:t>
        </x:is>
      </x:c>
      <x:c r="O231" s="3" t="inlineStr">
        <x:is>
          <x:t xml:space="preserve">факт не заполнен: ожидается счёт/акт, поэтому пока только план</x:t>
        </x:is>
      </x:c>
    </x:row>
    <x:row r="232">
      <x:c r="A232" s="2" t="n">
        <x:v>231</x:v>
      </x:c>
      <x:c r="B232" s="2" t="inlineStr">
        <x:is>
          <x:t xml:space="preserve">PRJ-301</x:t>
        </x:is>
      </x:c>
      <x:c r="C232" s="2" t="inlineStr">
        <x:is>
          <x:t xml:space="preserve">2025-10</x:t>
        </x:is>
      </x:c>
      <x:c r="D232" s="2" t="inlineStr">
        <x:is>
          <x:t xml:space="preserve">Planned</x:t>
        </x:is>
      </x:c>
      <x:c r="E232" s="3" t="inlineStr">
        <x:is>
          <x:t xml:space="preserve">Операционные</x:t>
        </x:is>
      </x:c>
      <x:c r="F232" s="3" t="inlineStr">
        <x:is>
          <x:t xml:space="preserve">Печать/полиграфия</x:t>
        </x:is>
      </x:c>
      <x:c r="G232" s="2" t="inlineStr">
        <x:is>
          <x:t xml:space="preserve">Marketing</x:t>
        </x:is>
      </x:c>
      <x:c r="H232" s="4" t="n">
        <x:v>11800</x:v>
      </x:c>
      <x:c r="I232" s="4" t="n"/>
      <x:c r="J232" s="4">
        <x:f>IF($I232="","",$I232-$H232)</x:f>
      </x:c>
      <x:c r="K232" s="5">
        <x:f>IF($I232="","",($I232-$H232)/$H232)</x:f>
      </x:c>
      <x:c r="L232" s="2">
        <x:f>IF($I232="","Planned",IF($I232&gt;$H232,"Over",IF($I232&lt;$H232,"Under","On plan")))</x:f>
      </x:c>
      <x:c r="M232" s="2">
        <x:f>IF($I232="","",IF(AND($J232&gt;50000,$K232&gt;0.2),"CRITICAL",""))</x:f>
      </x:c>
      <x:c r="N232" s="2" t="inlineStr">
        <x:is>
          <x:t xml:space="preserve">No</x:t>
        </x:is>
      </x:c>
      <x:c r="O232" s="3" t="inlineStr">
        <x:is>
          <x:t xml:space="preserve">факт не заполнен: месяц в плане, ожидаем документы от поставщика</x:t>
        </x:is>
      </x:c>
    </x:row>
    <x:row r="233">
      <x:c r="A233" s="2" t="n">
        <x:v>232</x:v>
      </x:c>
      <x:c r="B233" s="2" t="inlineStr">
        <x:is>
          <x:t xml:space="preserve">PRJ-301</x:t>
        </x:is>
      </x:c>
      <x:c r="C233" s="2" t="inlineStr">
        <x:is>
          <x:t xml:space="preserve">2025-10</x:t>
        </x:is>
      </x:c>
      <x:c r="D233" s="2" t="inlineStr">
        <x:is>
          <x:t xml:space="preserve">Planned</x:t>
        </x:is>
      </x:c>
      <x:c r="E233" s="3" t="inlineStr">
        <x:is>
          <x:t xml:space="preserve">Операционные</x:t>
        </x:is>
      </x:c>
      <x:c r="F233" s="3" t="inlineStr">
        <x:is>
          <x:t xml:space="preserve">Сервисы обратной связи (опросы)</x:t>
        </x:is>
      </x:c>
      <x:c r="G233" s="2" t="inlineStr">
        <x:is>
          <x:t xml:space="preserve">Analyst</x:t>
        </x:is>
      </x:c>
      <x:c r="H233" s="4" t="n">
        <x:v>11100</x:v>
      </x:c>
      <x:c r="I233" s="4" t="n"/>
      <x:c r="J233" s="4">
        <x:f>IF($I233="","",$I233-$H233)</x:f>
      </x:c>
      <x:c r="K233" s="5">
        <x:f>IF($I233="","",($I233-$H233)/$H233)</x:f>
      </x:c>
      <x:c r="L233" s="2">
        <x:f>IF($I233="","Planned",IF($I233&gt;$H233,"Over",IF($I233&lt;$H233,"Under","On plan")))</x:f>
      </x:c>
      <x:c r="M233" s="2">
        <x:f>IF($I233="","",IF(AND($J233&gt;50000,$K233&gt;0.2),"CRITICAL",""))</x:f>
      </x:c>
      <x:c r="N233" s="2" t="inlineStr">
        <x:is>
          <x:t xml:space="preserve">No</x:t>
        </x:is>
      </x:c>
      <x:c r="O233" s="3" t="inlineStr">
        <x:is>
          <x:t xml:space="preserve">факт не заполнен: счёт ещё не получен, данные появятся после закрытия месяца</x:t>
        </x:is>
      </x:c>
    </x:row>
    <x:row r="234">
      <x:c r="A234" s="2" t="n">
        <x:v>233</x:v>
      </x:c>
      <x:c r="B234" s="2" t="inlineStr">
        <x:is>
          <x:t xml:space="preserve">PRJ-301</x:t>
        </x:is>
      </x:c>
      <x:c r="C234" s="2" t="inlineStr">
        <x:is>
          <x:t xml:space="preserve">2025-10</x:t>
        </x:is>
      </x:c>
      <x:c r="D234" s="2" t="inlineStr">
        <x:is>
          <x:t xml:space="preserve">Planned</x:t>
        </x:is>
      </x:c>
      <x:c r="E234" s="3" t="inlineStr">
        <x:is>
          <x:t xml:space="preserve">Операционные</x:t>
        </x:is>
      </x:c>
      <x:c r="F234" s="3" t="inlineStr">
        <x:is>
          <x:t xml:space="preserve">Платежи/комиссии</x:t>
        </x:is>
      </x:c>
      <x:c r="G234" s="2" t="inlineStr">
        <x:is>
          <x:t xml:space="preserve">Admin</x:t>
        </x:is>
      </x:c>
      <x:c r="H234" s="4" t="n">
        <x:v>4500</x:v>
      </x:c>
      <x:c r="I234" s="4" t="n"/>
      <x:c r="J234" s="4">
        <x:f>IF($I234="","",$I234-$H234)</x:f>
      </x:c>
      <x:c r="K234" s="5">
        <x:f>IF($I234="","",($I234-$H234)/$H234)</x:f>
      </x:c>
      <x:c r="L234" s="2">
        <x:f>IF($I234="","Planned",IF($I234&gt;$H234,"Over",IF($I234&lt;$H234,"Under","On plan")))</x:f>
      </x:c>
      <x:c r="M234" s="2">
        <x:f>IF($I234="","",IF(AND($J234&gt;50000,$K234&gt;0.2),"CRITICAL",""))</x:f>
      </x:c>
      <x:c r="N234" s="2" t="inlineStr">
        <x:is>
          <x:t xml:space="preserve">No</x:t>
        </x:is>
      </x:c>
      <x:c r="O234" s="3" t="inlineStr">
        <x:is>
          <x:t xml:space="preserve">факт не заполнен: счёт ещё не получен, данные появятся после закрытия месяца</x:t>
        </x:is>
      </x:c>
    </x:row>
    <x:row r="235">
      <x:c r="A235" s="2" t="n">
        <x:v>234</x:v>
      </x:c>
      <x:c r="B235" s="2" t="inlineStr">
        <x:is>
          <x:t xml:space="preserve">PRJ-301</x:t>
        </x:is>
      </x:c>
      <x:c r="C235" s="2" t="inlineStr">
        <x:is>
          <x:t xml:space="preserve">2025-10</x:t>
        </x:is>
      </x:c>
      <x:c r="D235" s="2" t="inlineStr">
        <x:is>
          <x:t xml:space="preserve">Planned</x:t>
        </x:is>
      </x:c>
      <x:c r="E235" s="3" t="inlineStr">
        <x:is>
          <x:t xml:space="preserve">Безопасность</x:t>
        </x:is>
      </x:c>
      <x:c r="F235" s="3" t="inlineStr">
        <x:is>
          <x:t xml:space="preserve">Пентест/аудит</x:t>
        </x:is>
      </x:c>
      <x:c r="G235" s="2" t="inlineStr">
        <x:is>
          <x:t xml:space="preserve">DevOps</x:t>
        </x:is>
      </x:c>
      <x:c r="H235" s="4" t="n">
        <x:v>60200</x:v>
      </x:c>
      <x:c r="I235" s="4" t="n"/>
      <x:c r="J235" s="4">
        <x:f>IF($I235="","",$I235-$H235)</x:f>
      </x:c>
      <x:c r="K235" s="5">
        <x:f>IF($I235="","",($I235-$H235)/$H235)</x:f>
      </x:c>
      <x:c r="L235" s="2">
        <x:f>IF($I235="","Planned",IF($I235&gt;$H235,"Over",IF($I235&lt;$H235,"Under","On plan")))</x:f>
      </x:c>
      <x:c r="M235" s="2">
        <x:f>IF($I235="","",IF(AND($J235&gt;50000,$K235&gt;0.2),"CRITICAL",""))</x:f>
      </x:c>
      <x:c r="N235" s="2" t="inlineStr">
        <x:is>
          <x:t xml:space="preserve">No</x:t>
        </x:is>
      </x:c>
      <x:c r="O235" s="3" t="inlineStr">
        <x:is>
          <x:t xml:space="preserve">факт не заполнен: месяц в плане, ожидаем документы от поставщика</x:t>
        </x:is>
      </x:c>
    </x:row>
    <x:row r="236">
      <x:c r="A236" s="2" t="n">
        <x:v>235</x:v>
      </x:c>
      <x:c r="B236" s="2" t="inlineStr">
        <x:is>
          <x:t xml:space="preserve">PRJ-301</x:t>
        </x:is>
      </x:c>
      <x:c r="C236" s="2" t="inlineStr">
        <x:is>
          <x:t xml:space="preserve">2025-10</x:t>
        </x:is>
      </x:c>
      <x:c r="D236" s="2" t="inlineStr">
        <x:is>
          <x:t xml:space="preserve">Planned</x:t>
        </x:is>
      </x:c>
      <x:c r="E236" s="3" t="inlineStr">
        <x:is>
          <x:t xml:space="preserve">Безопасность</x:t>
        </x:is>
      </x:c>
      <x:c r="F236" s="3" t="inlineStr">
        <x:is>
          <x:t xml:space="preserve">Сканер уязвимостей</x:t>
        </x:is>
      </x:c>
      <x:c r="G236" s="2" t="inlineStr">
        <x:is>
          <x:t xml:space="preserve">DevOps</x:t>
        </x:is>
      </x:c>
      <x:c r="H236" s="4" t="n">
        <x:v>33500</x:v>
      </x:c>
      <x:c r="I236" s="4" t="n"/>
      <x:c r="J236" s="4">
        <x:f>IF($I236="","",$I236-$H236)</x:f>
      </x:c>
      <x:c r="K236" s="5">
        <x:f>IF($I236="","",($I236-$H236)/$H236)</x:f>
      </x:c>
      <x:c r="L236" s="2">
        <x:f>IF($I236="","Planned",IF($I236&gt;$H236,"Over",IF($I236&lt;$H236,"Under","On plan")))</x:f>
      </x:c>
      <x:c r="M236" s="2">
        <x:f>IF($I236="","",IF(AND($J236&gt;50000,$K236&gt;0.2),"CRITICAL",""))</x:f>
      </x:c>
      <x:c r="N236" s="2" t="inlineStr">
        <x:is>
          <x:t xml:space="preserve">No</x:t>
        </x:is>
      </x:c>
      <x:c r="O236" s="3" t="inlineStr">
        <x:is>
          <x:t xml:space="preserve">факт не заполнен: счёт ещё не получен, данные появятся после закрытия месяца</x:t>
        </x:is>
      </x:c>
    </x:row>
    <x:row r="237">
      <x:c r="A237" s="2" t="n">
        <x:v>236</x:v>
      </x:c>
      <x:c r="B237" s="2" t="inlineStr">
        <x:is>
          <x:t xml:space="preserve">PRJ-301</x:t>
        </x:is>
      </x:c>
      <x:c r="C237" s="2" t="inlineStr">
        <x:is>
          <x:t xml:space="preserve">2025-10</x:t>
        </x:is>
      </x:c>
      <x:c r="D237" s="2" t="inlineStr">
        <x:is>
          <x:t xml:space="preserve">Planned</x:t>
        </x:is>
      </x:c>
      <x:c r="E237" s="3" t="inlineStr">
        <x:is>
          <x:t xml:space="preserve">Тестирование</x:t>
        </x:is>
      </x:c>
      <x:c r="F237" s="3" t="inlineStr">
        <x:is>
          <x:t xml:space="preserve">Тестовые аккаунты/подписки</x:t>
        </x:is>
      </x:c>
      <x:c r="G237" s="2" t="inlineStr">
        <x:is>
          <x:t xml:space="preserve">QA</x:t>
        </x:is>
      </x:c>
      <x:c r="H237" s="4" t="n">
        <x:v>14300</x:v>
      </x:c>
      <x:c r="I237" s="4" t="n"/>
      <x:c r="J237" s="4">
        <x:f>IF($I237="","",$I237-$H237)</x:f>
      </x:c>
      <x:c r="K237" s="5">
        <x:f>IF($I237="","",($I237-$H237)/$H237)</x:f>
      </x:c>
      <x:c r="L237" s="2">
        <x:f>IF($I237="","Planned",IF($I237&gt;$H237,"Over",IF($I237&lt;$H237,"Under","On plan")))</x:f>
      </x:c>
      <x:c r="M237" s="2">
        <x:f>IF($I237="","",IF(AND($J237&gt;50000,$K237&gt;0.2),"CRITICAL",""))</x:f>
      </x:c>
      <x:c r="N237" s="2" t="inlineStr">
        <x:is>
          <x:t xml:space="preserve">No</x:t>
        </x:is>
      </x:c>
      <x:c r="O237" s="3" t="inlineStr">
        <x:is>
          <x:t xml:space="preserve">факт не заполнен: счёт ещё не получен, данные появятся после закрытия месяца</x:t>
        </x:is>
      </x:c>
    </x:row>
    <x:row r="238">
      <x:c r="A238" s="2" t="n">
        <x:v>237</x:v>
      </x:c>
      <x:c r="B238" s="2" t="inlineStr">
        <x:is>
          <x:t xml:space="preserve">PRJ-301</x:t>
        </x:is>
      </x:c>
      <x:c r="C238" s="2" t="inlineStr">
        <x:is>
          <x:t xml:space="preserve">2025-10</x:t>
        </x:is>
      </x:c>
      <x:c r="D238" s="2" t="inlineStr">
        <x:is>
          <x:t xml:space="preserve">Planned</x:t>
        </x:is>
      </x:c>
      <x:c r="E238" s="3" t="inlineStr">
        <x:is>
          <x:t xml:space="preserve">Тестирование</x:t>
        </x:is>
      </x:c>
      <x:c r="F238" s="3" t="inlineStr">
        <x:is>
          <x:t xml:space="preserve">Сервис баг-трекинга (доп.)</x:t>
        </x:is>
      </x:c>
      <x:c r="G238" s="2" t="inlineStr">
        <x:is>
          <x:t xml:space="preserve">QA</x:t>
        </x:is>
      </x:c>
      <x:c r="H238" s="4" t="n">
        <x:v>3600</x:v>
      </x:c>
      <x:c r="I238" s="4" t="n"/>
      <x:c r="J238" s="4">
        <x:f>IF($I238="","",$I238-$H238)</x:f>
      </x:c>
      <x:c r="K238" s="5">
        <x:f>IF($I238="","",($I238-$H238)/$H238)</x:f>
      </x:c>
      <x:c r="L238" s="2">
        <x:f>IF($I238="","Planned",IF($I238&gt;$H238,"Over",IF($I238&lt;$H238,"Under","On plan")))</x:f>
      </x:c>
      <x:c r="M238" s="2">
        <x:f>IF($I238="","",IF(AND($J238&gt;50000,$K238&gt;0.2),"CRITICAL",""))</x:f>
      </x:c>
      <x:c r="N238" s="2" t="inlineStr">
        <x:is>
          <x:t xml:space="preserve">No</x:t>
        </x:is>
      </x:c>
      <x:c r="O238" s="3" t="inlineStr">
        <x:is>
          <x:t xml:space="preserve">факт не заполнен: месяц в плане, ожидаем документы от поставщика</x:t>
        </x:is>
      </x:c>
    </x:row>
    <x:row r="239">
      <x:c r="A239" s="2" t="n">
        <x:v>238</x:v>
      </x:c>
      <x:c r="B239" s="2" t="inlineStr">
        <x:is>
          <x:t xml:space="preserve">PRJ-301</x:t>
        </x:is>
      </x:c>
      <x:c r="C239" s="2" t="inlineStr">
        <x:is>
          <x:t xml:space="preserve">2025-10</x:t>
        </x:is>
      </x:c>
      <x:c r="D239" s="2" t="inlineStr">
        <x:is>
          <x:t xml:space="preserve">Planned</x:t>
        </x:is>
      </x:c>
      <x:c r="E239" s="3" t="inlineStr">
        <x:is>
          <x:t xml:space="preserve">Контент</x:t>
        </x:is>
      </x:c>
      <x:c r="F239" s="3" t="inlineStr">
        <x:is>
          <x:t xml:space="preserve">Запись видео/монтаж</x:t>
        </x:is>
      </x:c>
      <x:c r="G239" s="2" t="inlineStr">
        <x:is>
          <x:t xml:space="preserve">Marketing</x:t>
        </x:is>
      </x:c>
      <x:c r="H239" s="4" t="n">
        <x:v>73600</x:v>
      </x:c>
      <x:c r="I239" s="4" t="n"/>
      <x:c r="J239" s="4">
        <x:f>IF($I239="","",$I239-$H239)</x:f>
      </x:c>
      <x:c r="K239" s="5">
        <x:f>IF($I239="","",($I239-$H239)/$H239)</x:f>
      </x:c>
      <x:c r="L239" s="2">
        <x:f>IF($I239="","Planned",IF($I239&gt;$H239,"Over",IF($I239&lt;$H239,"Under","On plan")))</x:f>
      </x:c>
      <x:c r="M239" s="2">
        <x:f>IF($I239="","",IF(AND($J239&gt;50000,$K239&gt;0.2),"CRITICAL",""))</x:f>
      </x:c>
      <x:c r="N239" s="2" t="inlineStr">
        <x:is>
          <x:t xml:space="preserve">No</x:t>
        </x:is>
      </x:c>
      <x:c r="O239" s="3" t="inlineStr">
        <x:is>
          <x:t xml:space="preserve">факт не заполнен: ожидается счёт/акт, поэтому пока только план</x:t>
        </x:is>
      </x:c>
    </x:row>
    <x:row r="240">
      <x:c r="A240" s="2" t="n">
        <x:v>239</x:v>
      </x:c>
      <x:c r="B240" s="2" t="inlineStr">
        <x:is>
          <x:t xml:space="preserve">PRJ-301</x:t>
        </x:is>
      </x:c>
      <x:c r="C240" s="2" t="inlineStr">
        <x:is>
          <x:t xml:space="preserve">2025-10</x:t>
        </x:is>
      </x:c>
      <x:c r="D240" s="2" t="inlineStr">
        <x:is>
          <x:t xml:space="preserve">Planned</x:t>
        </x:is>
      </x:c>
      <x:c r="E240" s="3" t="inlineStr">
        <x:is>
          <x:t xml:space="preserve">Контент</x:t>
        </x:is>
      </x:c>
      <x:c r="F240" s="3" t="inlineStr">
        <x:is>
          <x:t xml:space="preserve">Озвучка/диктор</x:t>
        </x:is>
      </x:c>
      <x:c r="G240" s="2" t="inlineStr">
        <x:is>
          <x:t xml:space="preserve">Marketing</x:t>
        </x:is>
      </x:c>
      <x:c r="H240" s="4" t="n">
        <x:v>33600</x:v>
      </x:c>
      <x:c r="I240" s="4" t="n"/>
      <x:c r="J240" s="4">
        <x:f>IF($I240="","",$I240-$H240)</x:f>
      </x:c>
      <x:c r="K240" s="5">
        <x:f>IF($I240="","",($I240-$H240)/$H240)</x:f>
      </x:c>
      <x:c r="L240" s="2">
        <x:f>IF($I240="","Planned",IF($I240&gt;$H240,"Over",IF($I240&lt;$H240,"Under","On plan")))</x:f>
      </x:c>
      <x:c r="M240" s="2">
        <x:f>IF($I240="","",IF(AND($J240&gt;50000,$K240&gt;0.2),"CRITICAL",""))</x:f>
      </x:c>
      <x:c r="N240" s="2" t="inlineStr">
        <x:is>
          <x:t xml:space="preserve">No</x:t>
        </x:is>
      </x:c>
      <x:c r="O240" s="3" t="inlineStr">
        <x:is>
          <x:t xml:space="preserve">факт не заполнен: счёт ещё не получен, данные появятся после закрытия месяца</x:t>
        </x:is>
      </x:c>
    </x:row>
    <x:row r="241">
      <x:c r="A241" s="2" t="n">
        <x:v>240</x:v>
      </x:c>
      <x:c r="B241" s="2" t="inlineStr">
        <x:is>
          <x:t xml:space="preserve">PRJ-301</x:t>
        </x:is>
      </x:c>
      <x:c r="C241" s="2" t="inlineStr">
        <x:is>
          <x:t xml:space="preserve">2025-10</x:t>
        </x:is>
      </x:c>
      <x:c r="D241" s="2" t="inlineStr">
        <x:is>
          <x:t xml:space="preserve">Planned</x:t>
        </x:is>
      </x:c>
      <x:c r="E241" s="3" t="inlineStr">
        <x:is>
          <x:t xml:space="preserve">Контент</x:t>
        </x:is>
      </x:c>
      <x:c r="F241" s="3" t="inlineStr">
        <x:is>
          <x:t xml:space="preserve">Фотосъёмка/материалы</x:t>
        </x:is>
      </x:c>
      <x:c r="G241" s="2" t="inlineStr">
        <x:is>
          <x:t xml:space="preserve">Marketing</x:t>
        </x:is>
      </x:c>
      <x:c r="H241" s="4" t="n">
        <x:v>33400</x:v>
      </x:c>
      <x:c r="I241" s="4" t="n"/>
      <x:c r="J241" s="4">
        <x:f>IF($I241="","",$I241-$H241)</x:f>
      </x:c>
      <x:c r="K241" s="5">
        <x:f>IF($I241="","",($I241-$H241)/$H241)</x:f>
      </x:c>
      <x:c r="L241" s="2">
        <x:f>IF($I241="","Planned",IF($I241&gt;$H241,"Over",IF($I241&lt;$H241,"Under","On plan")))</x:f>
      </x:c>
      <x:c r="M241" s="2">
        <x:f>IF($I241="","",IF(AND($J241&gt;50000,$K241&gt;0.2),"CRITICAL",""))</x:f>
      </x:c>
      <x:c r="N241" s="2" t="inlineStr">
        <x:is>
          <x:t xml:space="preserve">No</x:t>
        </x:is>
      </x:c>
      <x:c r="O241" s="3" t="inlineStr">
        <x:is>
          <x:t xml:space="preserve">факт не заполнен: месяц в плане, ожидаем документы от поставщика</x:t>
        </x:is>
      </x:c>
    </x:row>
    <x:row r="242">
      <x:c r="A242" s="2" t="n">
        <x:v>241</x:v>
      </x:c>
      <x:c r="B242" s="2" t="inlineStr">
        <x:is>
          <x:t xml:space="preserve">PRJ-301</x:t>
        </x:is>
      </x:c>
      <x:c r="C242" s="2" t="inlineStr">
        <x:is>
          <x:t xml:space="preserve">2025-10</x:t>
        </x:is>
      </x:c>
      <x:c r="D242" s="2" t="inlineStr">
        <x:is>
          <x:t xml:space="preserve">Planned</x:t>
        </x:is>
      </x:c>
      <x:c r="E242" s="3" t="inlineStr">
        <x:is>
          <x:t xml:space="preserve">Интеграции</x:t>
        </x:is>
      </x:c>
      <x:c r="F242" s="3" t="inlineStr">
        <x:is>
          <x:t xml:space="preserve">API-подписки (платные)</x:t>
        </x:is>
      </x:c>
      <x:c r="G242" s="2" t="inlineStr">
        <x:is>
          <x:t xml:space="preserve">Backend</x:t>
        </x:is>
      </x:c>
      <x:c r="H242" s="4" t="n">
        <x:v>34000</x:v>
      </x:c>
      <x:c r="I242" s="4" t="n"/>
      <x:c r="J242" s="4">
        <x:f>IF($I242="","",$I242-$H242)</x:f>
      </x:c>
      <x:c r="K242" s="5">
        <x:f>IF($I242="","",($I242-$H242)/$H242)</x:f>
      </x:c>
      <x:c r="L242" s="2">
        <x:f>IF($I242="","Planned",IF($I242&gt;$H242,"Over",IF($I242&lt;$H242,"Under","On plan")))</x:f>
      </x:c>
      <x:c r="M242" s="2">
        <x:f>IF($I242="","",IF(AND($J242&gt;50000,$K242&gt;0.2),"CRITICAL",""))</x:f>
      </x:c>
      <x:c r="N242" s="2" t="inlineStr">
        <x:is>
          <x:t xml:space="preserve">No</x:t>
        </x:is>
      </x:c>
      <x:c r="O242" s="3" t="inlineStr">
        <x:is>
          <x:t xml:space="preserve">факт не заполнен: счёт ещё не получен, данные появятся после закрытия месяца</x:t>
        </x:is>
      </x:c>
    </x:row>
    <x:row r="243">
      <x:c r="A243" s="2" t="n">
        <x:v>242</x:v>
      </x:c>
      <x:c r="B243" s="2" t="inlineStr">
        <x:is>
          <x:t xml:space="preserve">PRJ-301</x:t>
        </x:is>
      </x:c>
      <x:c r="C243" s="2" t="inlineStr">
        <x:is>
          <x:t xml:space="preserve">2025-10</x:t>
        </x:is>
      </x:c>
      <x:c r="D243" s="2" t="inlineStr">
        <x:is>
          <x:t xml:space="preserve">Planned</x:t>
        </x:is>
      </x:c>
      <x:c r="E243" s="3" t="inlineStr">
        <x:is>
          <x:t xml:space="preserve">Интеграции</x:t>
        </x:is>
      </x:c>
      <x:c r="F243" s="3" t="inlineStr">
        <x:is>
          <x:t xml:space="preserve">SMS/телефония</x:t>
        </x:is>
      </x:c>
      <x:c r="G243" s="2" t="inlineStr">
        <x:is>
          <x:t xml:space="preserve">Backend</x:t>
        </x:is>
      </x:c>
      <x:c r="H243" s="4" t="n">
        <x:v>16100</x:v>
      </x:c>
      <x:c r="I243" s="4" t="n"/>
      <x:c r="J243" s="4">
        <x:f>IF($I243="","",$I243-$H243)</x:f>
      </x:c>
      <x:c r="K243" s="5">
        <x:f>IF($I243="","",($I243-$H243)/$H243)</x:f>
      </x:c>
      <x:c r="L243" s="2">
        <x:f>IF($I243="","Planned",IF($I243&gt;$H243,"Over",IF($I243&lt;$H243,"Under","On plan")))</x:f>
      </x:c>
      <x:c r="M243" s="2">
        <x:f>IF($I243="","",IF(AND($J243&gt;50000,$K243&gt;0.2),"CRITICAL",""))</x:f>
      </x:c>
      <x:c r="N243" s="2" t="inlineStr">
        <x:is>
          <x:t xml:space="preserve">No</x:t>
        </x:is>
      </x:c>
      <x:c r="O243" s="3" t="inlineStr">
        <x:is>
          <x:t xml:space="preserve">факт не заполнен: счёт ещё не получен, данные появятся после закрытия месяца</x:t>
        </x:is>
      </x:c>
    </x:row>
    <x:row r="244">
      <x:c r="A244" s="2" t="n">
        <x:v>243</x:v>
      </x:c>
      <x:c r="B244" s="2" t="inlineStr">
        <x:is>
          <x:t xml:space="preserve">PRJ-301</x:t>
        </x:is>
      </x:c>
      <x:c r="C244" s="2" t="inlineStr">
        <x:is>
          <x:t xml:space="preserve">2025-10</x:t>
        </x:is>
      </x:c>
      <x:c r="D244" s="2" t="inlineStr">
        <x:is>
          <x:t xml:space="preserve">Planned</x:t>
        </x:is>
      </x:c>
      <x:c r="E244" s="3" t="inlineStr">
        <x:is>
          <x:t xml:space="preserve">Облако</x:t>
        </x:is>
      </x:c>
      <x:c r="F244" s="3" t="inlineStr">
        <x:is>
          <x:t xml:space="preserve">Облако: VM (compute)</x:t>
        </x:is>
      </x:c>
      <x:c r="G244" s="2" t="inlineStr">
        <x:is>
          <x:t xml:space="preserve">Team Lead</x:t>
        </x:is>
      </x:c>
      <x:c r="H244" s="4" t="n">
        <x:v>39600</x:v>
      </x:c>
      <x:c r="I244" s="4" t="n"/>
      <x:c r="J244" s="4">
        <x:f>IF($I244="","",$I244-$H244)</x:f>
      </x:c>
      <x:c r="K244" s="5">
        <x:f>IF($I244="","",($I244-$H244)/$H244)</x:f>
      </x:c>
      <x:c r="L244" s="2">
        <x:f>IF($I244="","Planned",IF($I244&gt;$H244,"Over",IF($I244&lt;$H244,"Under","On plan")))</x:f>
      </x:c>
      <x:c r="M244" s="2">
        <x:f>IF($I244="","",IF(AND($J244&gt;50000,$K244&gt;0.2),"CRITICAL",""))</x:f>
      </x:c>
      <x:c r="N244" s="2" t="inlineStr">
        <x:is>
          <x:t xml:space="preserve">No</x:t>
        </x:is>
      </x:c>
      <x:c r="O244" s="3" t="inlineStr">
        <x:is>
          <x:t xml:space="preserve">факт не заполнен: ожидается счёт/акт, поэтому пока только план</x:t>
        </x:is>
      </x:c>
    </x:row>
    <x:row r="245">
      <x:c r="A245" s="2" t="n">
        <x:v>244</x:v>
      </x:c>
      <x:c r="B245" s="2" t="inlineStr">
        <x:is>
          <x:t xml:space="preserve">PRJ-301</x:t>
        </x:is>
      </x:c>
      <x:c r="C245" s="2" t="inlineStr">
        <x:is>
          <x:t xml:space="preserve">2025-10</x:t>
        </x:is>
      </x:c>
      <x:c r="D245" s="2" t="inlineStr">
        <x:is>
          <x:t xml:space="preserve">Planned</x:t>
        </x:is>
      </x:c>
      <x:c r="E245" s="3" t="inlineStr">
        <x:is>
          <x:t xml:space="preserve">Облако</x:t>
        </x:is>
      </x:c>
      <x:c r="F245" s="3" t="inlineStr">
        <x:is>
          <x:t xml:space="preserve">Облако: Storage (object)</x:t>
        </x:is>
      </x:c>
      <x:c r="G245" s="2" t="inlineStr">
        <x:is>
          <x:t xml:space="preserve">Backend</x:t>
        </x:is>
      </x:c>
      <x:c r="H245" s="4" t="n">
        <x:v>23900</x:v>
      </x:c>
      <x:c r="I245" s="4" t="n"/>
      <x:c r="J245" s="4">
        <x:f>IF($I245="","",$I245-$H245)</x:f>
      </x:c>
      <x:c r="K245" s="5">
        <x:f>IF($I245="","",($I245-$H245)/$H245)</x:f>
      </x:c>
      <x:c r="L245" s="2">
        <x:f>IF($I245="","Planned",IF($I245&gt;$H245,"Over",IF($I245&lt;$H245,"Under","On plan")))</x:f>
      </x:c>
      <x:c r="M245" s="2">
        <x:f>IF($I245="","",IF(AND($J245&gt;50000,$K245&gt;0.2),"CRITICAL",""))</x:f>
      </x:c>
      <x:c r="N245" s="2" t="inlineStr">
        <x:is>
          <x:t xml:space="preserve">No</x:t>
        </x:is>
      </x:c>
      <x:c r="O245" s="3" t="inlineStr">
        <x:is>
          <x:t xml:space="preserve">факт не заполнен: расходы запланированы, но оплат ещё не было</x:t>
        </x:is>
      </x:c>
    </x:row>
    <x:row r="246">
      <x:c r="A246" s="2" t="n">
        <x:v>245</x:v>
      </x:c>
      <x:c r="B246" s="2" t="inlineStr">
        <x:is>
          <x:t xml:space="preserve">PRJ-301</x:t>
        </x:is>
      </x:c>
      <x:c r="C246" s="2" t="inlineStr">
        <x:is>
          <x:t xml:space="preserve">2025-10</x:t>
        </x:is>
      </x:c>
      <x:c r="D246" s="2" t="inlineStr">
        <x:is>
          <x:t xml:space="preserve">Planned</x:t>
        </x:is>
      </x:c>
      <x:c r="E246" s="3" t="inlineStr">
        <x:is>
          <x:t xml:space="preserve">Облако</x:t>
        </x:is>
      </x:c>
      <x:c r="F246" s="3" t="inlineStr">
        <x:is>
          <x:t xml:space="preserve">Облако: DB managed</x:t>
        </x:is>
      </x:c>
      <x:c r="G246" s="2" t="inlineStr">
        <x:is>
          <x:t xml:space="preserve">Backend</x:t>
        </x:is>
      </x:c>
      <x:c r="H246" s="4" t="n">
        <x:v>31900</x:v>
      </x:c>
      <x:c r="I246" s="4" t="n"/>
      <x:c r="J246" s="4">
        <x:f>IF($I246="","",$I246-$H246)</x:f>
      </x:c>
      <x:c r="K246" s="5">
        <x:f>IF($I246="","",($I246-$H246)/$H246)</x:f>
      </x:c>
      <x:c r="L246" s="2">
        <x:f>IF($I246="","Planned",IF($I246&gt;$H246,"Over",IF($I246&lt;$H246,"Under","On plan")))</x:f>
      </x:c>
      <x:c r="M246" s="2">
        <x:f>IF($I246="","",IF(AND($J246&gt;50000,$K246&gt;0.2),"CRITICAL",""))</x:f>
      </x:c>
      <x:c r="N246" s="2" t="inlineStr">
        <x:is>
          <x:t xml:space="preserve">No</x:t>
        </x:is>
      </x:c>
      <x:c r="O246" s="3" t="inlineStr">
        <x:is>
          <x:t xml:space="preserve">факт не заполнен: расходы запланированы, но оплат ещё не было</x:t>
        </x:is>
      </x:c>
    </x:row>
    <x:row r="247">
      <x:c r="A247" s="2" t="n">
        <x:v>246</x:v>
      </x:c>
      <x:c r="B247" s="2" t="inlineStr">
        <x:is>
          <x:t xml:space="preserve">PRJ-301</x:t>
        </x:is>
      </x:c>
      <x:c r="C247" s="2" t="inlineStr">
        <x:is>
          <x:t xml:space="preserve">2025-10</x:t>
        </x:is>
      </x:c>
      <x:c r="D247" s="2" t="inlineStr">
        <x:is>
          <x:t xml:space="preserve">Planned</x:t>
        </x:is>
      </x:c>
      <x:c r="E247" s="3" t="inlineStr">
        <x:is>
          <x:t xml:space="preserve">Облако</x:t>
        </x:is>
      </x:c>
      <x:c r="F247" s="3" t="inlineStr">
        <x:is>
          <x:t xml:space="preserve">Облако: CDN/Traffic</x:t>
        </x:is>
      </x:c>
      <x:c r="G247" s="2" t="inlineStr">
        <x:is>
          <x:t xml:space="preserve">DevOps</x:t>
        </x:is>
      </x:c>
      <x:c r="H247" s="4" t="n">
        <x:v>5700</x:v>
      </x:c>
      <x:c r="I247" s="4" t="n"/>
      <x:c r="J247" s="4">
        <x:f>IF($I247="","",$I247-$H247)</x:f>
      </x:c>
      <x:c r="K247" s="5">
        <x:f>IF($I247="","",($I247-$H247)/$H247)</x:f>
      </x:c>
      <x:c r="L247" s="2">
        <x:f>IF($I247="","Planned",IF($I247&gt;$H247,"Over",IF($I247&lt;$H247,"Under","On plan")))</x:f>
      </x:c>
      <x:c r="M247" s="2">
        <x:f>IF($I247="","",IF(AND($J247&gt;50000,$K247&gt;0.2),"CRITICAL",""))</x:f>
      </x:c>
      <x:c r="N247" s="2" t="inlineStr">
        <x:is>
          <x:t xml:space="preserve">No</x:t>
        </x:is>
      </x:c>
      <x:c r="O247" s="3" t="inlineStr">
        <x:is>
          <x:t xml:space="preserve">факт не заполнен: месяц в плане, ожидаем документы от поставщика</x:t>
        </x:is>
      </x:c>
    </x:row>
    <x:row r="248">
      <x:c r="A248" s="2" t="n">
        <x:v>247</x:v>
      </x:c>
      <x:c r="B248" s="2" t="inlineStr">
        <x:is>
          <x:t xml:space="preserve">PRJ-301</x:t>
        </x:is>
      </x:c>
      <x:c r="C248" s="2" t="inlineStr">
        <x:is>
          <x:t xml:space="preserve">2025-10</x:t>
        </x:is>
      </x:c>
      <x:c r="D248" s="2" t="inlineStr">
        <x:is>
          <x:t xml:space="preserve">Planned</x:t>
        </x:is>
      </x:c>
      <x:c r="E248" s="3" t="inlineStr">
        <x:is>
          <x:t xml:space="preserve">Инфраструктура</x:t>
        </x:is>
      </x:c>
      <x:c r="F248" s="3" t="inlineStr">
        <x:is>
          <x:t xml:space="preserve">CI/CD runners</x:t>
        </x:is>
      </x:c>
      <x:c r="G248" s="2" t="inlineStr">
        <x:is>
          <x:t xml:space="preserve">DevOps</x:t>
        </x:is>
      </x:c>
      <x:c r="H248" s="4" t="n">
        <x:v>6300</x:v>
      </x:c>
      <x:c r="I248" s="4" t="n"/>
      <x:c r="J248" s="4">
        <x:f>IF($I248="","",$I248-$H248)</x:f>
      </x:c>
      <x:c r="K248" s="5">
        <x:f>IF($I248="","",($I248-$H248)/$H248)</x:f>
      </x:c>
      <x:c r="L248" s="2">
        <x:f>IF($I248="","Planned",IF($I248&gt;$H248,"Over",IF($I248&lt;$H248,"Under","On plan")))</x:f>
      </x:c>
      <x:c r="M248" s="2">
        <x:f>IF($I248="","",IF(AND($J248&gt;50000,$K248&gt;0.2),"CRITICAL",""))</x:f>
      </x:c>
      <x:c r="N248" s="2" t="inlineStr">
        <x:is>
          <x:t xml:space="preserve">No</x:t>
        </x:is>
      </x:c>
      <x:c r="O248" s="3" t="inlineStr">
        <x:is>
          <x:t xml:space="preserve">факт не заполнен: расходы запланированы, но оплат ещё не было</x:t>
        </x:is>
      </x:c>
    </x:row>
    <x:row r="249">
      <x:c r="A249" s="2" t="n">
        <x:v>248</x:v>
      </x:c>
      <x:c r="B249" s="2" t="inlineStr">
        <x:is>
          <x:t xml:space="preserve">PRJ-301</x:t>
        </x:is>
      </x:c>
      <x:c r="C249" s="2" t="inlineStr">
        <x:is>
          <x:t xml:space="preserve">2025-10</x:t>
        </x:is>
      </x:c>
      <x:c r="D249" s="2" t="inlineStr">
        <x:is>
          <x:t xml:space="preserve">Planned</x:t>
        </x:is>
      </x:c>
      <x:c r="E249" s="3" t="inlineStr">
        <x:is>
          <x:t xml:space="preserve">Инфраструктура</x:t>
        </x:is>
      </x:c>
      <x:c r="F249" s="3" t="inlineStr">
        <x:is>
          <x:t xml:space="preserve">Мониторинг/логирование</x:t>
        </x:is>
      </x:c>
      <x:c r="G249" s="2" t="inlineStr">
        <x:is>
          <x:t xml:space="preserve">DevOps</x:t>
        </x:is>
      </x:c>
      <x:c r="H249" s="4" t="n">
        <x:v>8100</x:v>
      </x:c>
      <x:c r="I249" s="4" t="n"/>
      <x:c r="J249" s="4">
        <x:f>IF($I249="","",$I249-$H249)</x:f>
      </x:c>
      <x:c r="K249" s="5">
        <x:f>IF($I249="","",($I249-$H249)/$H249)</x:f>
      </x:c>
      <x:c r="L249" s="2">
        <x:f>IF($I249="","Planned",IF($I249&gt;$H249,"Over",IF($I249&lt;$H249,"Under","On plan")))</x:f>
      </x:c>
      <x:c r="M249" s="2">
        <x:f>IF($I249="","",IF(AND($J249&gt;50000,$K249&gt;0.2),"CRITICAL",""))</x:f>
      </x:c>
      <x:c r="N249" s="2" t="inlineStr">
        <x:is>
          <x:t xml:space="preserve">No</x:t>
        </x:is>
      </x:c>
      <x:c r="O249" s="3" t="inlineStr">
        <x:is>
          <x:t xml:space="preserve">факт не заполнен: месяц в плане, ожидаем документы от поставщика</x:t>
        </x:is>
      </x:c>
    </x:row>
    <x:row r="250">
      <x:c r="A250" s="2" t="n">
        <x:v>249</x:v>
      </x:c>
      <x:c r="B250" s="2" t="inlineStr">
        <x:is>
          <x:t xml:space="preserve">PRJ-301</x:t>
        </x:is>
      </x:c>
      <x:c r="C250" s="2" t="inlineStr">
        <x:is>
          <x:t xml:space="preserve">2025-10</x:t>
        </x:is>
      </x:c>
      <x:c r="D250" s="2" t="inlineStr">
        <x:is>
          <x:t xml:space="preserve">Planned</x:t>
        </x:is>
      </x:c>
      <x:c r="E250" s="3" t="inlineStr">
        <x:is>
          <x:t xml:space="preserve">Инфраструктура</x:t>
        </x:is>
      </x:c>
      <x:c r="F250" s="3" t="inlineStr">
        <x:is>
          <x:t xml:space="preserve">Домен + SSL</x:t>
        </x:is>
      </x:c>
      <x:c r="G250" s="2" t="inlineStr">
        <x:is>
          <x:t xml:space="preserve">Admin</x:t>
        </x:is>
      </x:c>
      <x:c r="H250" s="4" t="n">
        <x:v>7900</x:v>
      </x:c>
      <x:c r="I250" s="4" t="n"/>
      <x:c r="J250" s="4">
        <x:f>IF($I250="","",$I250-$H250)</x:f>
      </x:c>
      <x:c r="K250" s="5">
        <x:f>IF($I250="","",($I250-$H250)/$H250)</x:f>
      </x:c>
      <x:c r="L250" s="2">
        <x:f>IF($I250="","Planned",IF($I250&gt;$H250,"Over",IF($I250&lt;$H250,"Under","On plan")))</x:f>
      </x:c>
      <x:c r="M250" s="2">
        <x:f>IF($I250="","",IF(AND($J250&gt;50000,$K250&gt;0.2),"CRITICAL",""))</x:f>
      </x:c>
      <x:c r="N250" s="2" t="inlineStr">
        <x:is>
          <x:t xml:space="preserve">No</x:t>
        </x:is>
      </x:c>
      <x:c r="O250" s="3" t="inlineStr">
        <x:is>
          <x:t xml:space="preserve">факт не заполнен: расходы запланированы, но оплат ещё не было</x:t>
        </x:is>
      </x:c>
    </x:row>
    <x:row r="251">
      <x:c r="A251" s="2" t="n">
        <x:v>250</x:v>
      </x:c>
      <x:c r="B251" s="2" t="inlineStr">
        <x:is>
          <x:t xml:space="preserve">PRJ-301</x:t>
        </x:is>
      </x:c>
      <x:c r="C251" s="2" t="inlineStr">
        <x:is>
          <x:t xml:space="preserve">2025-10</x:t>
        </x:is>
      </x:c>
      <x:c r="D251" s="2" t="inlineStr">
        <x:is>
          <x:t xml:space="preserve">Planned</x:t>
        </x:is>
      </x:c>
      <x:c r="E251" s="3" t="inlineStr">
        <x:is>
          <x:t xml:space="preserve">ПО/Лицензии</x:t>
        </x:is>
      </x:c>
      <x:c r="F251" s="3" t="inlineStr">
        <x:is>
          <x:t xml:space="preserve">Лицензии IDE</x:t>
        </x:is>
      </x:c>
      <x:c r="G251" s="2" t="inlineStr">
        <x:is>
          <x:t xml:space="preserve">Admin</x:t>
        </x:is>
      </x:c>
      <x:c r="H251" s="4" t="n">
        <x:v>19800</x:v>
      </x:c>
      <x:c r="I251" s="4" t="n"/>
      <x:c r="J251" s="4">
        <x:f>IF($I251="","",$I251-$H251)</x:f>
      </x:c>
      <x:c r="K251" s="5">
        <x:f>IF($I251="","",($I251-$H251)/$H251)</x:f>
      </x:c>
      <x:c r="L251" s="2">
        <x:f>IF($I251="","Planned",IF($I251&gt;$H251,"Over",IF($I251&lt;$H251,"Under","On plan")))</x:f>
      </x:c>
      <x:c r="M251" s="2">
        <x:f>IF($I251="","",IF(AND($J251&gt;50000,$K251&gt;0.2),"CRITICAL",""))</x:f>
      </x:c>
      <x:c r="N251" s="2" t="inlineStr">
        <x:is>
          <x:t xml:space="preserve">No</x:t>
        </x:is>
      </x:c>
      <x:c r="O251" s="3" t="inlineStr">
        <x:is>
          <x:t xml:space="preserve">факт не заполнен: ожидается счёт/акт, поэтому пока только план</x:t>
        </x:is>
      </x:c>
    </x:row>
    <x:row r="252">
      <x:c r="A252" s="2" t="n">
        <x:v>251</x:v>
      </x:c>
      <x:c r="B252" s="2" t="inlineStr">
        <x:is>
          <x:t xml:space="preserve">PRJ-301</x:t>
        </x:is>
      </x:c>
      <x:c r="C252" s="2" t="inlineStr">
        <x:is>
          <x:t xml:space="preserve">2025-11</x:t>
        </x:is>
      </x:c>
      <x:c r="D252" s="2" t="inlineStr">
        <x:is>
          <x:t xml:space="preserve">Planned</x:t>
        </x:is>
      </x:c>
      <x:c r="E252" s="3" t="inlineStr">
        <x:is>
          <x:t xml:space="preserve">Операционные</x:t>
        </x:is>
      </x:c>
      <x:c r="F252" s="3" t="inlineStr">
        <x:is>
          <x:t xml:space="preserve">Платежи/комиссии</x:t>
        </x:is>
      </x:c>
      <x:c r="G252" s="2" t="inlineStr">
        <x:is>
          <x:t xml:space="preserve">Admin</x:t>
        </x:is>
      </x:c>
      <x:c r="H252" s="4" t="n">
        <x:v>1600</x:v>
      </x:c>
      <x:c r="I252" s="4" t="n"/>
      <x:c r="J252" s="4">
        <x:f>IF($I252="","",$I252-$H252)</x:f>
      </x:c>
      <x:c r="K252" s="5">
        <x:f>IF($I252="","",($I252-$H252)/$H252)</x:f>
      </x:c>
      <x:c r="L252" s="2">
        <x:f>IF($I252="","Planned",IF($I252&gt;$H252,"Over",IF($I252&lt;$H252,"Under","On plan")))</x:f>
      </x:c>
      <x:c r="M252" s="2">
        <x:f>IF($I252="","",IF(AND($J252&gt;50000,$K252&gt;0.2),"CRITICAL",""))</x:f>
      </x:c>
      <x:c r="N252" s="2" t="inlineStr">
        <x:is>
          <x:t xml:space="preserve">No</x:t>
        </x:is>
      </x:c>
      <x:c r="O252" s="3" t="inlineStr">
        <x:is>
          <x:t xml:space="preserve">факт не заполнен: месяц в плане, ожидаем документы от поставщика</x:t>
        </x:is>
      </x:c>
    </x:row>
    <x:row r="253">
      <x:c r="A253" s="2" t="n">
        <x:v>252</x:v>
      </x:c>
      <x:c r="B253" s="2" t="inlineStr">
        <x:is>
          <x:t xml:space="preserve">PRJ-301</x:t>
        </x:is>
      </x:c>
      <x:c r="C253" s="2" t="inlineStr">
        <x:is>
          <x:t xml:space="preserve">2025-11</x:t>
        </x:is>
      </x:c>
      <x:c r="D253" s="2" t="inlineStr">
        <x:is>
          <x:t xml:space="preserve">Planned</x:t>
        </x:is>
      </x:c>
      <x:c r="E253" s="3" t="inlineStr">
        <x:is>
          <x:t xml:space="preserve">Безопасность</x:t>
        </x:is>
      </x:c>
      <x:c r="F253" s="3" t="inlineStr">
        <x:is>
          <x:t xml:space="preserve">Пентест/аудит</x:t>
        </x:is>
      </x:c>
      <x:c r="G253" s="2" t="inlineStr">
        <x:is>
          <x:t xml:space="preserve">DevOps</x:t>
        </x:is>
      </x:c>
      <x:c r="H253" s="4" t="n">
        <x:v>97200</x:v>
      </x:c>
      <x:c r="I253" s="4" t="n"/>
      <x:c r="J253" s="4">
        <x:f>IF($I253="","",$I253-$H253)</x:f>
      </x:c>
      <x:c r="K253" s="5">
        <x:f>IF($I253="","",($I253-$H253)/$H253)</x:f>
      </x:c>
      <x:c r="L253" s="2">
        <x:f>IF($I253="","Planned",IF($I253&gt;$H253,"Over",IF($I253&lt;$H253,"Under","On plan")))</x:f>
      </x:c>
      <x:c r="M253" s="2">
        <x:f>IF($I253="","",IF(AND($J253&gt;50000,$K253&gt;0.2),"CRITICAL",""))</x:f>
      </x:c>
      <x:c r="N253" s="2" t="inlineStr">
        <x:is>
          <x:t xml:space="preserve">No</x:t>
        </x:is>
      </x:c>
      <x:c r="O253" s="3" t="inlineStr">
        <x:is>
          <x:t xml:space="preserve">факт не заполнен: расходы запланированы, но оплат ещё не было</x:t>
        </x:is>
      </x:c>
    </x:row>
    <x:row r="254">
      <x:c r="A254" s="2" t="n">
        <x:v>253</x:v>
      </x:c>
      <x:c r="B254" s="2" t="inlineStr">
        <x:is>
          <x:t xml:space="preserve">PRJ-301</x:t>
        </x:is>
      </x:c>
      <x:c r="C254" s="2" t="inlineStr">
        <x:is>
          <x:t xml:space="preserve">2025-11</x:t>
        </x:is>
      </x:c>
      <x:c r="D254" s="2" t="inlineStr">
        <x:is>
          <x:t xml:space="preserve">Planned</x:t>
        </x:is>
      </x:c>
      <x:c r="E254" s="3" t="inlineStr">
        <x:is>
          <x:t xml:space="preserve">Безопасность</x:t>
        </x:is>
      </x:c>
      <x:c r="F254" s="3" t="inlineStr">
        <x:is>
          <x:t xml:space="preserve">Сканер уязвимостей</x:t>
        </x:is>
      </x:c>
      <x:c r="G254" s="2" t="inlineStr">
        <x:is>
          <x:t xml:space="preserve">DevOps</x:t>
        </x:is>
      </x:c>
      <x:c r="H254" s="4" t="n">
        <x:v>18300</x:v>
      </x:c>
      <x:c r="I254" s="4" t="n"/>
      <x:c r="J254" s="4">
        <x:f>IF($I254="","",$I254-$H254)</x:f>
      </x:c>
      <x:c r="K254" s="5">
        <x:f>IF($I254="","",($I254-$H254)/$H254)</x:f>
      </x:c>
      <x:c r="L254" s="2">
        <x:f>IF($I254="","Planned",IF($I254&gt;$H254,"Over",IF($I254&lt;$H254,"Under","On plan")))</x:f>
      </x:c>
      <x:c r="M254" s="2">
        <x:f>IF($I254="","",IF(AND($J254&gt;50000,$K254&gt;0.2),"CRITICAL",""))</x:f>
      </x:c>
      <x:c r="N254" s="2" t="inlineStr">
        <x:is>
          <x:t xml:space="preserve">No</x:t>
        </x:is>
      </x:c>
      <x:c r="O254" s="3" t="inlineStr">
        <x:is>
          <x:t xml:space="preserve">факт не заполнен: ожидается счёт/акт, поэтому пока только план</x:t>
        </x:is>
      </x:c>
    </x:row>
    <x:row r="255">
      <x:c r="A255" s="2" t="n">
        <x:v>254</x:v>
      </x:c>
      <x:c r="B255" s="2" t="inlineStr">
        <x:is>
          <x:t xml:space="preserve">PRJ-301</x:t>
        </x:is>
      </x:c>
      <x:c r="C255" s="2" t="inlineStr">
        <x:is>
          <x:t xml:space="preserve">2025-11</x:t>
        </x:is>
      </x:c>
      <x:c r="D255" s="2" t="inlineStr">
        <x:is>
          <x:t xml:space="preserve">Planned</x:t>
        </x:is>
      </x:c>
      <x:c r="E255" s="3" t="inlineStr">
        <x:is>
          <x:t xml:space="preserve">Тестирование</x:t>
        </x:is>
      </x:c>
      <x:c r="F255" s="3" t="inlineStr">
        <x:is>
          <x:t xml:space="preserve">Тестовые аккаунты/подписки</x:t>
        </x:is>
      </x:c>
      <x:c r="G255" s="2" t="inlineStr">
        <x:is>
          <x:t xml:space="preserve">QA</x:t>
        </x:is>
      </x:c>
      <x:c r="H255" s="4" t="n">
        <x:v>19500</x:v>
      </x:c>
      <x:c r="I255" s="4" t="n"/>
      <x:c r="J255" s="4">
        <x:f>IF($I255="","",$I255-$H255)</x:f>
      </x:c>
      <x:c r="K255" s="5">
        <x:f>IF($I255="","",($I255-$H255)/$H255)</x:f>
      </x:c>
      <x:c r="L255" s="2">
        <x:f>IF($I255="","Planned",IF($I255&gt;$H255,"Over",IF($I255&lt;$H255,"Under","On plan")))</x:f>
      </x:c>
      <x:c r="M255" s="2">
        <x:f>IF($I255="","",IF(AND($J255&gt;50000,$K255&gt;0.2),"CRITICAL",""))</x:f>
      </x:c>
      <x:c r="N255" s="2" t="inlineStr">
        <x:is>
          <x:t xml:space="preserve">No</x:t>
        </x:is>
      </x:c>
      <x:c r="O255" s="3" t="inlineStr">
        <x:is>
          <x:t xml:space="preserve">факт не заполнен: расходы запланированы, но оплат ещё не было</x:t>
        </x:is>
      </x:c>
    </x:row>
    <x:row r="256">
      <x:c r="A256" s="2" t="n">
        <x:v>255</x:v>
      </x:c>
      <x:c r="B256" s="2" t="inlineStr">
        <x:is>
          <x:t xml:space="preserve">PRJ-301</x:t>
        </x:is>
      </x:c>
      <x:c r="C256" s="2" t="inlineStr">
        <x:is>
          <x:t xml:space="preserve">2025-11</x:t>
        </x:is>
      </x:c>
      <x:c r="D256" s="2" t="inlineStr">
        <x:is>
          <x:t xml:space="preserve">Planned</x:t>
        </x:is>
      </x:c>
      <x:c r="E256" s="3" t="inlineStr">
        <x:is>
          <x:t xml:space="preserve">Тестирование</x:t>
        </x:is>
      </x:c>
      <x:c r="F256" s="3" t="inlineStr">
        <x:is>
          <x:t xml:space="preserve">Сервис баг-трекинга (доп.)</x:t>
        </x:is>
      </x:c>
      <x:c r="G256" s="2" t="inlineStr">
        <x:is>
          <x:t xml:space="preserve">QA</x:t>
        </x:is>
      </x:c>
      <x:c r="H256" s="4" t="n">
        <x:v>10400</x:v>
      </x:c>
      <x:c r="I256" s="4" t="n"/>
      <x:c r="J256" s="4">
        <x:f>IF($I256="","",$I256-$H256)</x:f>
      </x:c>
      <x:c r="K256" s="5">
        <x:f>IF($I256="","",($I256-$H256)/$H256)</x:f>
      </x:c>
      <x:c r="L256" s="2">
        <x:f>IF($I256="","Planned",IF($I256&gt;$H256,"Over",IF($I256&lt;$H256,"Under","On plan")))</x:f>
      </x:c>
      <x:c r="M256" s="2">
        <x:f>IF($I256="","",IF(AND($J256&gt;50000,$K256&gt;0.2),"CRITICAL",""))</x:f>
      </x:c>
      <x:c r="N256" s="2" t="inlineStr">
        <x:is>
          <x:t xml:space="preserve">No</x:t>
        </x:is>
      </x:c>
      <x:c r="O256" s="3" t="inlineStr">
        <x:is>
          <x:t xml:space="preserve">факт не заполнен: счёт ещё не получен, данные появятся после закрытия месяца</x:t>
        </x:is>
      </x:c>
    </x:row>
    <x:row r="257">
      <x:c r="A257" s="2" t="n">
        <x:v>256</x:v>
      </x:c>
      <x:c r="B257" s="2" t="inlineStr">
        <x:is>
          <x:t xml:space="preserve">PRJ-301</x:t>
        </x:is>
      </x:c>
      <x:c r="C257" s="2" t="inlineStr">
        <x:is>
          <x:t xml:space="preserve">2025-11</x:t>
        </x:is>
      </x:c>
      <x:c r="D257" s="2" t="inlineStr">
        <x:is>
          <x:t xml:space="preserve">Planned</x:t>
        </x:is>
      </x:c>
      <x:c r="E257" s="3" t="inlineStr">
        <x:is>
          <x:t xml:space="preserve">Контент</x:t>
        </x:is>
      </x:c>
      <x:c r="F257" s="3" t="inlineStr">
        <x:is>
          <x:t xml:space="preserve">Запись видео/монтаж</x:t>
        </x:is>
      </x:c>
      <x:c r="G257" s="2" t="inlineStr">
        <x:is>
          <x:t xml:space="preserve">Marketing</x:t>
        </x:is>
      </x:c>
      <x:c r="H257" s="4" t="n">
        <x:v>68400</x:v>
      </x:c>
      <x:c r="I257" s="4" t="n"/>
      <x:c r="J257" s="4">
        <x:f>IF($I257="","",$I257-$H257)</x:f>
      </x:c>
      <x:c r="K257" s="5">
        <x:f>IF($I257="","",($I257-$H257)/$H257)</x:f>
      </x:c>
      <x:c r="L257" s="2">
        <x:f>IF($I257="","Planned",IF($I257&gt;$H257,"Over",IF($I257&lt;$H257,"Under","On plan")))</x:f>
      </x:c>
      <x:c r="M257" s="2">
        <x:f>IF($I257="","",IF(AND($J257&gt;50000,$K257&gt;0.2),"CRITICAL",""))</x:f>
      </x:c>
      <x:c r="N257" s="2" t="inlineStr">
        <x:is>
          <x:t xml:space="preserve">No</x:t>
        </x:is>
      </x:c>
      <x:c r="O257" s="3" t="inlineStr">
        <x:is>
          <x:t xml:space="preserve">факт не заполнен: счёт ещё не получен, данные появятся после закрытия месяца</x:t>
        </x:is>
      </x:c>
    </x:row>
    <x:row r="258">
      <x:c r="A258" s="2" t="n">
        <x:v>257</x:v>
      </x:c>
      <x:c r="B258" s="2" t="inlineStr">
        <x:is>
          <x:t xml:space="preserve">PRJ-301</x:t>
        </x:is>
      </x:c>
      <x:c r="C258" s="2" t="inlineStr">
        <x:is>
          <x:t xml:space="preserve">2025-11</x:t>
        </x:is>
      </x:c>
      <x:c r="D258" s="2" t="inlineStr">
        <x:is>
          <x:t xml:space="preserve">Planned</x:t>
        </x:is>
      </x:c>
      <x:c r="E258" s="3" t="inlineStr">
        <x:is>
          <x:t xml:space="preserve">Контент</x:t>
        </x:is>
      </x:c>
      <x:c r="F258" s="3" t="inlineStr">
        <x:is>
          <x:t xml:space="preserve">Озвучка/диктор</x:t>
        </x:is>
      </x:c>
      <x:c r="G258" s="2" t="inlineStr">
        <x:is>
          <x:t xml:space="preserve">Marketing</x:t>
        </x:is>
      </x:c>
      <x:c r="H258" s="4" t="n">
        <x:v>20900</x:v>
      </x:c>
      <x:c r="I258" s="4" t="n"/>
      <x:c r="J258" s="4">
        <x:f>IF($I258="","",$I258-$H258)</x:f>
      </x:c>
      <x:c r="K258" s="5">
        <x:f>IF($I258="","",($I258-$H258)/$H258)</x:f>
      </x:c>
      <x:c r="L258" s="2">
        <x:f>IF($I258="","Planned",IF($I258&gt;$H258,"Over",IF($I258&lt;$H258,"Under","On plan")))</x:f>
      </x:c>
      <x:c r="M258" s="2">
        <x:f>IF($I258="","",IF(AND($J258&gt;50000,$K258&gt;0.2),"CRITICAL",""))</x:f>
      </x:c>
      <x:c r="N258" s="2" t="inlineStr">
        <x:is>
          <x:t xml:space="preserve">No</x:t>
        </x:is>
      </x:c>
      <x:c r="O258" s="3" t="inlineStr">
        <x:is>
          <x:t xml:space="preserve">факт не заполнен: ожидается счёт/акт, поэтому пока только план</x:t>
        </x:is>
      </x:c>
    </x:row>
    <x:row r="259">
      <x:c r="A259" s="2" t="n">
        <x:v>258</x:v>
      </x:c>
      <x:c r="B259" s="2" t="inlineStr">
        <x:is>
          <x:t xml:space="preserve">PRJ-301</x:t>
        </x:is>
      </x:c>
      <x:c r="C259" s="2" t="inlineStr">
        <x:is>
          <x:t xml:space="preserve">2025-11</x:t>
        </x:is>
      </x:c>
      <x:c r="D259" s="2" t="inlineStr">
        <x:is>
          <x:t xml:space="preserve">Planned</x:t>
        </x:is>
      </x:c>
      <x:c r="E259" s="3" t="inlineStr">
        <x:is>
          <x:t xml:space="preserve">Контент</x:t>
        </x:is>
      </x:c>
      <x:c r="F259" s="3" t="inlineStr">
        <x:is>
          <x:t xml:space="preserve">Фотосъёмка/материалы</x:t>
        </x:is>
      </x:c>
      <x:c r="G259" s="2" t="inlineStr">
        <x:is>
          <x:t xml:space="preserve">Marketing</x:t>
        </x:is>
      </x:c>
      <x:c r="H259" s="4" t="n">
        <x:v>16300</x:v>
      </x:c>
      <x:c r="I259" s="4" t="n"/>
      <x:c r="J259" s="4">
        <x:f>IF($I259="","",$I259-$H259)</x:f>
      </x:c>
      <x:c r="K259" s="5">
        <x:f>IF($I259="","",($I259-$H259)/$H259)</x:f>
      </x:c>
      <x:c r="L259" s="2">
        <x:f>IF($I259="","Planned",IF($I259&gt;$H259,"Over",IF($I259&lt;$H259,"Under","On plan")))</x:f>
      </x:c>
      <x:c r="M259" s="2">
        <x:f>IF($I259="","",IF(AND($J259&gt;50000,$K259&gt;0.2),"CRITICAL",""))</x:f>
      </x:c>
      <x:c r="N259" s="2" t="inlineStr">
        <x:is>
          <x:t xml:space="preserve">No</x:t>
        </x:is>
      </x:c>
      <x:c r="O259" s="3" t="inlineStr">
        <x:is>
          <x:t xml:space="preserve">факт не заполнен: счёт ещё не получен, данные появятся после закрытия месяца</x:t>
        </x:is>
      </x:c>
    </x:row>
    <x:row r="260">
      <x:c r="A260" s="2" t="n">
        <x:v>259</x:v>
      </x:c>
      <x:c r="B260" s="2" t="inlineStr">
        <x:is>
          <x:t xml:space="preserve">PRJ-301</x:t>
        </x:is>
      </x:c>
      <x:c r="C260" s="2" t="inlineStr">
        <x:is>
          <x:t xml:space="preserve">2025-11</x:t>
        </x:is>
      </x:c>
      <x:c r="D260" s="2" t="inlineStr">
        <x:is>
          <x:t xml:space="preserve">Planned</x:t>
        </x:is>
      </x:c>
      <x:c r="E260" s="3" t="inlineStr">
        <x:is>
          <x:t xml:space="preserve">Интеграции</x:t>
        </x:is>
      </x:c>
      <x:c r="F260" s="3" t="inlineStr">
        <x:is>
          <x:t xml:space="preserve">API-подписки (платные)</x:t>
        </x:is>
      </x:c>
      <x:c r="G260" s="2" t="inlineStr">
        <x:is>
          <x:t xml:space="preserve">Backend</x:t>
        </x:is>
      </x:c>
      <x:c r="H260" s="4" t="n">
        <x:v>15900</x:v>
      </x:c>
      <x:c r="I260" s="4" t="n"/>
      <x:c r="J260" s="4">
        <x:f>IF($I260="","",$I260-$H260)</x:f>
      </x:c>
      <x:c r="K260" s="5">
        <x:f>IF($I260="","",($I260-$H260)/$H260)</x:f>
      </x:c>
      <x:c r="L260" s="2">
        <x:f>IF($I260="","Planned",IF($I260&gt;$H260,"Over",IF($I260&lt;$H260,"Under","On plan")))</x:f>
      </x:c>
      <x:c r="M260" s="2">
        <x:f>IF($I260="","",IF(AND($J260&gt;50000,$K260&gt;0.2),"CRITICAL",""))</x:f>
      </x:c>
      <x:c r="N260" s="2" t="inlineStr">
        <x:is>
          <x:t xml:space="preserve">No</x:t>
        </x:is>
      </x:c>
      <x:c r="O260" s="3" t="inlineStr">
        <x:is>
          <x:t xml:space="preserve">факт не заполнен: счёт ещё не получен, данные появятся после закрытия месяца</x:t>
        </x:is>
      </x:c>
    </x:row>
    <x:row r="261">
      <x:c r="A261" s="2" t="n">
        <x:v>260</x:v>
      </x:c>
      <x:c r="B261" s="2" t="inlineStr">
        <x:is>
          <x:t xml:space="preserve">PRJ-301</x:t>
        </x:is>
      </x:c>
      <x:c r="C261" s="2" t="inlineStr">
        <x:is>
          <x:t xml:space="preserve">2025-11</x:t>
        </x:is>
      </x:c>
      <x:c r="D261" s="2" t="inlineStr">
        <x:is>
          <x:t xml:space="preserve">Planned</x:t>
        </x:is>
      </x:c>
      <x:c r="E261" s="3" t="inlineStr">
        <x:is>
          <x:t xml:space="preserve">Интеграции</x:t>
        </x:is>
      </x:c>
      <x:c r="F261" s="3" t="inlineStr">
        <x:is>
          <x:t xml:space="preserve">SMS/телефония</x:t>
        </x:is>
      </x:c>
      <x:c r="G261" s="2" t="inlineStr">
        <x:is>
          <x:t xml:space="preserve">Backend</x:t>
        </x:is>
      </x:c>
      <x:c r="H261" s="4" t="n">
        <x:v>3300</x:v>
      </x:c>
      <x:c r="I261" s="4" t="n"/>
      <x:c r="J261" s="4">
        <x:f>IF($I261="","",$I261-$H261)</x:f>
      </x:c>
      <x:c r="K261" s="5">
        <x:f>IF($I261="","",($I261-$H261)/$H261)</x:f>
      </x:c>
      <x:c r="L261" s="2">
        <x:f>IF($I261="","Planned",IF($I261&gt;$H261,"Over",IF($I261&lt;$H261,"Under","On plan")))</x:f>
      </x:c>
      <x:c r="M261" s="2">
        <x:f>IF($I261="","",IF(AND($J261&gt;50000,$K261&gt;0.2),"CRITICAL",""))</x:f>
      </x:c>
      <x:c r="N261" s="2" t="inlineStr">
        <x:is>
          <x:t xml:space="preserve">No</x:t>
        </x:is>
      </x:c>
      <x:c r="O261" s="3" t="inlineStr">
        <x:is>
          <x:t xml:space="preserve">факт не заполнен: месяц в плане, ожидаем документы от поставщика</x:t>
        </x:is>
      </x:c>
    </x:row>
    <x:row r="262">
      <x:c r="A262" s="2" t="n">
        <x:v>261</x:v>
      </x:c>
      <x:c r="B262" s="2" t="inlineStr">
        <x:is>
          <x:t xml:space="preserve">PRJ-301</x:t>
        </x:is>
      </x:c>
      <x:c r="C262" s="2" t="inlineStr">
        <x:is>
          <x:t xml:space="preserve">2025-11</x:t>
        </x:is>
      </x:c>
      <x:c r="D262" s="2" t="inlineStr">
        <x:is>
          <x:t xml:space="preserve">Planned</x:t>
        </x:is>
      </x:c>
      <x:c r="E262" s="3" t="inlineStr">
        <x:is>
          <x:t xml:space="preserve">Облако</x:t>
        </x:is>
      </x:c>
      <x:c r="F262" s="3" t="inlineStr">
        <x:is>
          <x:t xml:space="preserve">Облако: VM (compute)</x:t>
        </x:is>
      </x:c>
      <x:c r="G262" s="2" t="inlineStr">
        <x:is>
          <x:t xml:space="preserve">Team Lead</x:t>
        </x:is>
      </x:c>
      <x:c r="H262" s="4" t="n">
        <x:v>55300</x:v>
      </x:c>
      <x:c r="I262" s="4" t="n"/>
      <x:c r="J262" s="4">
        <x:f>IF($I262="","",$I262-$H262)</x:f>
      </x:c>
      <x:c r="K262" s="5">
        <x:f>IF($I262="","",($I262-$H262)/$H262)</x:f>
      </x:c>
      <x:c r="L262" s="2">
        <x:f>IF($I262="","Planned",IF($I262&gt;$H262,"Over",IF($I262&lt;$H262,"Under","On plan")))</x:f>
      </x:c>
      <x:c r="M262" s="2">
        <x:f>IF($I262="","",IF(AND($J262&gt;50000,$K262&gt;0.2),"CRITICAL",""))</x:f>
      </x:c>
      <x:c r="N262" s="2" t="inlineStr">
        <x:is>
          <x:t xml:space="preserve">No</x:t>
        </x:is>
      </x:c>
      <x:c r="O262" s="3" t="inlineStr">
        <x:is>
          <x:t xml:space="preserve">факт не заполнен: расходы запланированы, но оплат ещё не было</x:t>
        </x:is>
      </x:c>
    </x:row>
    <x:row r="263">
      <x:c r="A263" s="2" t="n">
        <x:v>262</x:v>
      </x:c>
      <x:c r="B263" s="2" t="inlineStr">
        <x:is>
          <x:t xml:space="preserve">PRJ-301</x:t>
        </x:is>
      </x:c>
      <x:c r="C263" s="2" t="inlineStr">
        <x:is>
          <x:t xml:space="preserve">2025-11</x:t>
        </x:is>
      </x:c>
      <x:c r="D263" s="2" t="inlineStr">
        <x:is>
          <x:t xml:space="preserve">Planned</x:t>
        </x:is>
      </x:c>
      <x:c r="E263" s="3" t="inlineStr">
        <x:is>
          <x:t xml:space="preserve">Облако</x:t>
        </x:is>
      </x:c>
      <x:c r="F263" s="3" t="inlineStr">
        <x:is>
          <x:t xml:space="preserve">Облако: Storage (object)</x:t>
        </x:is>
      </x:c>
      <x:c r="G263" s="2" t="inlineStr">
        <x:is>
          <x:t xml:space="preserve">Backend</x:t>
        </x:is>
      </x:c>
      <x:c r="H263" s="4" t="n">
        <x:v>21800</x:v>
      </x:c>
      <x:c r="I263" s="4" t="n"/>
      <x:c r="J263" s="4">
        <x:f>IF($I263="","",$I263-$H263)</x:f>
      </x:c>
      <x:c r="K263" s="5">
        <x:f>IF($I263="","",($I263-$H263)/$H263)</x:f>
      </x:c>
      <x:c r="L263" s="2">
        <x:f>IF($I263="","Planned",IF($I263&gt;$H263,"Over",IF($I263&lt;$H263,"Under","On plan")))</x:f>
      </x:c>
      <x:c r="M263" s="2">
        <x:f>IF($I263="","",IF(AND($J263&gt;50000,$K263&gt;0.2),"CRITICAL",""))</x:f>
      </x:c>
      <x:c r="N263" s="2" t="inlineStr">
        <x:is>
          <x:t xml:space="preserve">No</x:t>
        </x:is>
      </x:c>
      <x:c r="O263" s="3" t="inlineStr">
        <x:is>
          <x:t xml:space="preserve">факт не заполнен: месяц в плане, ожидаем документы от поставщика</x:t>
        </x:is>
      </x:c>
    </x:row>
    <x:row r="264">
      <x:c r="A264" s="2" t="n">
        <x:v>263</x:v>
      </x:c>
      <x:c r="B264" s="2" t="inlineStr">
        <x:is>
          <x:t xml:space="preserve">PRJ-301</x:t>
        </x:is>
      </x:c>
      <x:c r="C264" s="2" t="inlineStr">
        <x:is>
          <x:t xml:space="preserve">2025-11</x:t>
        </x:is>
      </x:c>
      <x:c r="D264" s="2" t="inlineStr">
        <x:is>
          <x:t xml:space="preserve">Planned</x:t>
        </x:is>
      </x:c>
      <x:c r="E264" s="3" t="inlineStr">
        <x:is>
          <x:t xml:space="preserve">Облако</x:t>
        </x:is>
      </x:c>
      <x:c r="F264" s="3" t="inlineStr">
        <x:is>
          <x:t xml:space="preserve">Облако: DB managed</x:t>
        </x:is>
      </x:c>
      <x:c r="G264" s="2" t="inlineStr">
        <x:is>
          <x:t xml:space="preserve">Backend</x:t>
        </x:is>
      </x:c>
      <x:c r="H264" s="4" t="n">
        <x:v>35000</x:v>
      </x:c>
      <x:c r="I264" s="4" t="n"/>
      <x:c r="J264" s="4">
        <x:f>IF($I264="","",$I264-$H264)</x:f>
      </x:c>
      <x:c r="K264" s="5">
        <x:f>IF($I264="","",($I264-$H264)/$H264)</x:f>
      </x:c>
      <x:c r="L264" s="2">
        <x:f>IF($I264="","Planned",IF($I264&gt;$H264,"Over",IF($I264&lt;$H264,"Under","On plan")))</x:f>
      </x:c>
      <x:c r="M264" s="2">
        <x:f>IF($I264="","",IF(AND($J264&gt;50000,$K264&gt;0.2),"CRITICAL",""))</x:f>
      </x:c>
      <x:c r="N264" s="2" t="inlineStr">
        <x:is>
          <x:t xml:space="preserve">No</x:t>
        </x:is>
      </x:c>
      <x:c r="O264" s="3" t="inlineStr">
        <x:is>
          <x:t xml:space="preserve">факт не заполнен: расходы запланированы, но оплат ещё не было</x:t>
        </x:is>
      </x:c>
    </x:row>
    <x:row r="265">
      <x:c r="A265" s="2" t="n">
        <x:v>264</x:v>
      </x:c>
      <x:c r="B265" s="2" t="inlineStr">
        <x:is>
          <x:t xml:space="preserve">PRJ-301</x:t>
        </x:is>
      </x:c>
      <x:c r="C265" s="2" t="inlineStr">
        <x:is>
          <x:t xml:space="preserve">2025-11</x:t>
        </x:is>
      </x:c>
      <x:c r="D265" s="2" t="inlineStr">
        <x:is>
          <x:t xml:space="preserve">Planned</x:t>
        </x:is>
      </x:c>
      <x:c r="E265" s="3" t="inlineStr">
        <x:is>
          <x:t xml:space="preserve">Облако</x:t>
        </x:is>
      </x:c>
      <x:c r="F265" s="3" t="inlineStr">
        <x:is>
          <x:t xml:space="preserve">Облако: CDN/Traffic</x:t>
        </x:is>
      </x:c>
      <x:c r="G265" s="2" t="inlineStr">
        <x:is>
          <x:t xml:space="preserve">DevOps</x:t>
        </x:is>
      </x:c>
      <x:c r="H265" s="4" t="n">
        <x:v>19900</x:v>
      </x:c>
      <x:c r="I265" s="4" t="n"/>
      <x:c r="J265" s="4">
        <x:f>IF($I265="","",$I265-$H265)</x:f>
      </x:c>
      <x:c r="K265" s="5">
        <x:f>IF($I265="","",($I265-$H265)/$H265)</x:f>
      </x:c>
      <x:c r="L265" s="2">
        <x:f>IF($I265="","Planned",IF($I265&gt;$H265,"Over",IF($I265&lt;$H265,"Under","On plan")))</x:f>
      </x:c>
      <x:c r="M265" s="2">
        <x:f>IF($I265="","",IF(AND($J265&gt;50000,$K265&gt;0.2),"CRITICAL",""))</x:f>
      </x:c>
      <x:c r="N265" s="2" t="inlineStr">
        <x:is>
          <x:t xml:space="preserve">No</x:t>
        </x:is>
      </x:c>
      <x:c r="O265" s="3" t="inlineStr">
        <x:is>
          <x:t xml:space="preserve">факт не заполнен: счёт ещё не получен, данные появятся после закрытия месяца</x:t>
        </x:is>
      </x:c>
    </x:row>
    <x:row r="266">
      <x:c r="A266" s="2" t="n">
        <x:v>265</x:v>
      </x:c>
      <x:c r="B266" s="2" t="inlineStr">
        <x:is>
          <x:t xml:space="preserve">PRJ-301</x:t>
        </x:is>
      </x:c>
      <x:c r="C266" s="2" t="inlineStr">
        <x:is>
          <x:t xml:space="preserve">2025-11</x:t>
        </x:is>
      </x:c>
      <x:c r="D266" s="2" t="inlineStr">
        <x:is>
          <x:t xml:space="preserve">Planned</x:t>
        </x:is>
      </x:c>
      <x:c r="E266" s="3" t="inlineStr">
        <x:is>
          <x:t xml:space="preserve">Инфраструктура</x:t>
        </x:is>
      </x:c>
      <x:c r="F266" s="3" t="inlineStr">
        <x:is>
          <x:t xml:space="preserve">CI/CD runners</x:t>
        </x:is>
      </x:c>
      <x:c r="G266" s="2" t="inlineStr">
        <x:is>
          <x:t xml:space="preserve">DevOps</x:t>
        </x:is>
      </x:c>
      <x:c r="H266" s="4" t="n">
        <x:v>12700</x:v>
      </x:c>
      <x:c r="I266" s="4" t="n"/>
      <x:c r="J266" s="4">
        <x:f>IF($I266="","",$I266-$H266)</x:f>
      </x:c>
      <x:c r="K266" s="5">
        <x:f>IF($I266="","",($I266-$H266)/$H266)</x:f>
      </x:c>
      <x:c r="L266" s="2">
        <x:f>IF($I266="","Planned",IF($I266&gt;$H266,"Over",IF($I266&lt;$H266,"Under","On plan")))</x:f>
      </x:c>
      <x:c r="M266" s="2">
        <x:f>IF($I266="","",IF(AND($J266&gt;50000,$K266&gt;0.2),"CRITICAL",""))</x:f>
      </x:c>
      <x:c r="N266" s="2" t="inlineStr">
        <x:is>
          <x:t xml:space="preserve">No</x:t>
        </x:is>
      </x:c>
      <x:c r="O266" s="3" t="inlineStr">
        <x:is>
          <x:t xml:space="preserve">факт не заполнен: месяц в плане, ожидаем документы от поставщика</x:t>
        </x:is>
      </x:c>
    </x:row>
    <x:row r="267">
      <x:c r="A267" s="2" t="n">
        <x:v>266</x:v>
      </x:c>
      <x:c r="B267" s="2" t="inlineStr">
        <x:is>
          <x:t xml:space="preserve">PRJ-301</x:t>
        </x:is>
      </x:c>
      <x:c r="C267" s="2" t="inlineStr">
        <x:is>
          <x:t xml:space="preserve">2025-11</x:t>
        </x:is>
      </x:c>
      <x:c r="D267" s="2" t="inlineStr">
        <x:is>
          <x:t xml:space="preserve">Planned</x:t>
        </x:is>
      </x:c>
      <x:c r="E267" s="3" t="inlineStr">
        <x:is>
          <x:t xml:space="preserve">Инфраструктура</x:t>
        </x:is>
      </x:c>
      <x:c r="F267" s="3" t="inlineStr">
        <x:is>
          <x:t xml:space="preserve">Мониторинг/логирование</x:t>
        </x:is>
      </x:c>
      <x:c r="G267" s="2" t="inlineStr">
        <x:is>
          <x:t xml:space="preserve">DevOps</x:t>
        </x:is>
      </x:c>
      <x:c r="H267" s="4" t="n">
        <x:v>12500</x:v>
      </x:c>
      <x:c r="I267" s="4" t="n"/>
      <x:c r="J267" s="4">
        <x:f>IF($I267="","",$I267-$H267)</x:f>
      </x:c>
      <x:c r="K267" s="5">
        <x:f>IF($I267="","",($I267-$H267)/$H267)</x:f>
      </x:c>
      <x:c r="L267" s="2">
        <x:f>IF($I267="","Planned",IF($I267&gt;$H267,"Over",IF($I267&lt;$H267,"Under","On plan")))</x:f>
      </x:c>
      <x:c r="M267" s="2">
        <x:f>IF($I267="","",IF(AND($J267&gt;50000,$K267&gt;0.2),"CRITICAL",""))</x:f>
      </x:c>
      <x:c r="N267" s="2" t="inlineStr">
        <x:is>
          <x:t xml:space="preserve">No</x:t>
        </x:is>
      </x:c>
      <x:c r="O267" s="3" t="inlineStr">
        <x:is>
          <x:t xml:space="preserve">факт не заполнен: расходы запланированы, но оплат ещё не было</x:t>
        </x:is>
      </x:c>
    </x:row>
    <x:row r="268">
      <x:c r="A268" s="2" t="n">
        <x:v>267</x:v>
      </x:c>
      <x:c r="B268" s="2" t="inlineStr">
        <x:is>
          <x:t xml:space="preserve">PRJ-301</x:t>
        </x:is>
      </x:c>
      <x:c r="C268" s="2" t="inlineStr">
        <x:is>
          <x:t xml:space="preserve">2025-11</x:t>
        </x:is>
      </x:c>
      <x:c r="D268" s="2" t="inlineStr">
        <x:is>
          <x:t xml:space="preserve">Planned</x:t>
        </x:is>
      </x:c>
      <x:c r="E268" s="3" t="inlineStr">
        <x:is>
          <x:t xml:space="preserve">Инфраструктура</x:t>
        </x:is>
      </x:c>
      <x:c r="F268" s="3" t="inlineStr">
        <x:is>
          <x:t xml:space="preserve">Домен + SSL</x:t>
        </x:is>
      </x:c>
      <x:c r="G268" s="2" t="inlineStr">
        <x:is>
          <x:t xml:space="preserve">Admin</x:t>
        </x:is>
      </x:c>
      <x:c r="H268" s="4" t="n">
        <x:v>8700</x:v>
      </x:c>
      <x:c r="I268" s="4" t="n"/>
      <x:c r="J268" s="4">
        <x:f>IF($I268="","",$I268-$H268)</x:f>
      </x:c>
      <x:c r="K268" s="5">
        <x:f>IF($I268="","",($I268-$H268)/$H268)</x:f>
      </x:c>
      <x:c r="L268" s="2">
        <x:f>IF($I268="","Planned",IF($I268&gt;$H268,"Over",IF($I268&lt;$H268,"Under","On plan")))</x:f>
      </x:c>
      <x:c r="M268" s="2">
        <x:f>IF($I268="","",IF(AND($J268&gt;50000,$K268&gt;0.2),"CRITICAL",""))</x:f>
      </x:c>
      <x:c r="N268" s="2" t="inlineStr">
        <x:is>
          <x:t xml:space="preserve">No</x:t>
        </x:is>
      </x:c>
      <x:c r="O268" s="3" t="inlineStr">
        <x:is>
          <x:t xml:space="preserve">факт не заполнен: расходы запланированы, но оплат ещё не было</x:t>
        </x:is>
      </x:c>
    </x:row>
    <x:row r="269">
      <x:c r="A269" s="2" t="n">
        <x:v>268</x:v>
      </x:c>
      <x:c r="B269" s="2" t="inlineStr">
        <x:is>
          <x:t xml:space="preserve">PRJ-301</x:t>
        </x:is>
      </x:c>
      <x:c r="C269" s="2" t="inlineStr">
        <x:is>
          <x:t xml:space="preserve">2025-11</x:t>
        </x:is>
      </x:c>
      <x:c r="D269" s="2" t="inlineStr">
        <x:is>
          <x:t xml:space="preserve">Planned</x:t>
        </x:is>
      </x:c>
      <x:c r="E269" s="3" t="inlineStr">
        <x:is>
          <x:t xml:space="preserve">ПО/Лицензии</x:t>
        </x:is>
      </x:c>
      <x:c r="F269" s="3" t="inlineStr">
        <x:is>
          <x:t xml:space="preserve">Лицензии IDE</x:t>
        </x:is>
      </x:c>
      <x:c r="G269" s="2" t="inlineStr">
        <x:is>
          <x:t xml:space="preserve">Admin</x:t>
        </x:is>
      </x:c>
      <x:c r="H269" s="4" t="n">
        <x:v>17900</x:v>
      </x:c>
      <x:c r="I269" s="4" t="n"/>
      <x:c r="J269" s="4">
        <x:f>IF($I269="","",$I269-$H269)</x:f>
      </x:c>
      <x:c r="K269" s="5">
        <x:f>IF($I269="","",($I269-$H269)/$H269)</x:f>
      </x:c>
      <x:c r="L269" s="2">
        <x:f>IF($I269="","Planned",IF($I269&gt;$H269,"Over",IF($I269&lt;$H269,"Under","On plan")))</x:f>
      </x:c>
      <x:c r="M269" s="2">
        <x:f>IF($I269="","",IF(AND($J269&gt;50000,$K269&gt;0.2),"CRITICAL",""))</x:f>
      </x:c>
      <x:c r="N269" s="2" t="inlineStr">
        <x:is>
          <x:t xml:space="preserve">No</x:t>
        </x:is>
      </x:c>
      <x:c r="O269" s="3" t="inlineStr">
        <x:is>
          <x:t xml:space="preserve">факт не заполнен: месяц в плане, ожидаем документы от поставщика</x:t>
        </x:is>
      </x:c>
    </x:row>
    <x:row r="270">
      <x:c r="A270" s="2" t="n">
        <x:v>269</x:v>
      </x:c>
      <x:c r="B270" s="2" t="inlineStr">
        <x:is>
          <x:t xml:space="preserve">PRJ-301</x:t>
        </x:is>
      </x:c>
      <x:c r="C270" s="2" t="inlineStr">
        <x:is>
          <x:t xml:space="preserve">2025-11</x:t>
        </x:is>
      </x:c>
      <x:c r="D270" s="2" t="inlineStr">
        <x:is>
          <x:t xml:space="preserve">Planned</x:t>
        </x:is>
      </x:c>
      <x:c r="E270" s="3" t="inlineStr">
        <x:is>
          <x:t xml:space="preserve">ПО/Лицензии</x:t>
        </x:is>
      </x:c>
      <x:c r="F270" s="3" t="inlineStr">
        <x:is>
          <x:t xml:space="preserve">Figma/Design tools</x:t>
        </x:is>
      </x:c>
      <x:c r="G270" s="2" t="inlineStr">
        <x:is>
          <x:t xml:space="preserve">Designer</x:t>
        </x:is>
      </x:c>
      <x:c r="H270" s="4" t="n">
        <x:v>6000</x:v>
      </x:c>
      <x:c r="I270" s="4" t="n"/>
      <x:c r="J270" s="4">
        <x:f>IF($I270="","",$I270-$H270)</x:f>
      </x:c>
      <x:c r="K270" s="5">
        <x:f>IF($I270="","",($I270-$H270)/$H270)</x:f>
      </x:c>
      <x:c r="L270" s="2">
        <x:f>IF($I270="","Planned",IF($I270&gt;$H270,"Over",IF($I270&lt;$H270,"Under","On plan")))</x:f>
      </x:c>
      <x:c r="M270" s="2">
        <x:f>IF($I270="","",IF(AND($J270&gt;50000,$K270&gt;0.2),"CRITICAL",""))</x:f>
      </x:c>
      <x:c r="N270" s="2" t="inlineStr">
        <x:is>
          <x:t xml:space="preserve">No</x:t>
        </x:is>
      </x:c>
      <x:c r="O270" s="3" t="inlineStr">
        <x:is>
          <x:t xml:space="preserve">факт не заполнен: ожидается счёт/акт, поэтому пока только план</x:t>
        </x:is>
      </x:c>
    </x:row>
    <x:row r="271">
      <x:c r="A271" s="2" t="n">
        <x:v>270</x:v>
      </x:c>
      <x:c r="B271" s="2" t="inlineStr">
        <x:is>
          <x:t xml:space="preserve">PRJ-301</x:t>
        </x:is>
      </x:c>
      <x:c r="C271" s="2" t="inlineStr">
        <x:is>
          <x:t xml:space="preserve">2025-11</x:t>
        </x:is>
      </x:c>
      <x:c r="D271" s="2" t="inlineStr">
        <x:is>
          <x:t xml:space="preserve">Planned</x:t>
        </x:is>
      </x:c>
      <x:c r="E271" s="3" t="inlineStr">
        <x:is>
          <x:t xml:space="preserve">ПО/Лицензии</x:t>
        </x:is>
      </x:c>
      <x:c r="F271" s="3" t="inlineStr">
        <x:is>
          <x:t xml:space="preserve">Jira/Confluence</x:t>
        </x:is>
      </x:c>
      <x:c r="G271" s="2" t="inlineStr">
        <x:is>
          <x:t xml:space="preserve">PM</x:t>
        </x:is>
      </x:c>
      <x:c r="H271" s="4" t="n">
        <x:v>7100</x:v>
      </x:c>
      <x:c r="I271" s="4" t="n"/>
      <x:c r="J271" s="4">
        <x:f>IF($I271="","",$I271-$H271)</x:f>
      </x:c>
      <x:c r="K271" s="5">
        <x:f>IF($I271="","",($I271-$H271)/$H271)</x:f>
      </x:c>
      <x:c r="L271" s="2">
        <x:f>IF($I271="","Planned",IF($I271&gt;$H271,"Over",IF($I271&lt;$H271,"Under","On plan")))</x:f>
      </x:c>
      <x:c r="M271" s="2">
        <x:f>IF($I271="","",IF(AND($J271&gt;50000,$K271&gt;0.2),"CRITICAL",""))</x:f>
      </x:c>
      <x:c r="N271" s="2" t="inlineStr">
        <x:is>
          <x:t xml:space="preserve">No</x:t>
        </x:is>
      </x:c>
      <x:c r="O271" s="3" t="inlineStr">
        <x:is>
          <x:t xml:space="preserve">факт не заполнен: расходы запланированы, но оплат ещё не было</x:t>
        </x:is>
      </x:c>
    </x:row>
    <x:row r="272">
      <x:c r="A272" s="2" t="n">
        <x:v>271</x:v>
      </x:c>
      <x:c r="B272" s="2" t="inlineStr">
        <x:is>
          <x:t xml:space="preserve">PRJ-301</x:t>
        </x:is>
      </x:c>
      <x:c r="C272" s="2" t="inlineStr">
        <x:is>
          <x:t xml:space="preserve">2025-11</x:t>
        </x:is>
      </x:c>
      <x:c r="D272" s="2" t="inlineStr">
        <x:is>
          <x:t xml:space="preserve">Planned</x:t>
        </x:is>
      </x:c>
      <x:c r="E272" s="3" t="inlineStr">
        <x:is>
          <x:t xml:space="preserve">ПО/Лицензии</x:t>
        </x:is>
      </x:c>
      <x:c r="F272" s="3" t="inlineStr">
        <x:is>
          <x:t xml:space="preserve">Email/рассылки</x:t>
        </x:is>
      </x:c>
      <x:c r="G272" s="2" t="inlineStr">
        <x:is>
          <x:t xml:space="preserve">Backend</x:t>
        </x:is>
      </x:c>
      <x:c r="H272" s="4" t="n">
        <x:v>5800</x:v>
      </x:c>
      <x:c r="I272" s="4" t="n"/>
      <x:c r="J272" s="4">
        <x:f>IF($I272="","",$I272-$H272)</x:f>
      </x:c>
      <x:c r="K272" s="5">
        <x:f>IF($I272="","",($I272-$H272)/$H272)</x:f>
      </x:c>
      <x:c r="L272" s="2">
        <x:f>IF($I272="","Planned",IF($I272&gt;$H272,"Over",IF($I272&lt;$H272,"Under","On plan")))</x:f>
      </x:c>
      <x:c r="M272" s="2">
        <x:f>IF($I272="","",IF(AND($J272&gt;50000,$K272&gt;0.2),"CRITICAL",""))</x:f>
      </x:c>
      <x:c r="N272" s="2" t="inlineStr">
        <x:is>
          <x:t xml:space="preserve">No</x:t>
        </x:is>
      </x:c>
      <x:c r="O272" s="3" t="inlineStr">
        <x:is>
          <x:t xml:space="preserve">факт не заполнен: счёт ещё не получен, данные появятся после закрытия месяца</x:t>
        </x:is>
      </x:c>
    </x:row>
    <x:row r="273">
      <x:c r="A273" s="2" t="n">
        <x:v>272</x:v>
      </x:c>
      <x:c r="B273" s="2" t="inlineStr">
        <x:is>
          <x:t xml:space="preserve">PRJ-301</x:t>
        </x:is>
      </x:c>
      <x:c r="C273" s="2" t="inlineStr">
        <x:is>
          <x:t xml:space="preserve">2025-11</x:t>
        </x:is>
      </x:c>
      <x:c r="D273" s="2" t="inlineStr">
        <x:is>
          <x:t xml:space="preserve">Planned</x:t>
        </x:is>
      </x:c>
      <x:c r="E273" s="3" t="inlineStr">
        <x:is>
          <x:t xml:space="preserve">Подряд</x:t>
        </x:is>
      </x:c>
      <x:c r="F273" s="3" t="inlineStr">
        <x:is>
          <x:t xml:space="preserve">Подряд: дизайн (иллюстрации)</x:t>
        </x:is>
      </x:c>
      <x:c r="G273" s="2" t="inlineStr">
        <x:is>
          <x:t xml:space="preserve">Designer</x:t>
        </x:is>
      </x:c>
      <x:c r="H273" s="4" t="n">
        <x:v>57800</x:v>
      </x:c>
      <x:c r="I273" s="4" t="n"/>
      <x:c r="J273" s="4">
        <x:f>IF($I273="","",$I273-$H273)</x:f>
      </x:c>
      <x:c r="K273" s="5">
        <x:f>IF($I273="","",($I273-$H273)/$H273)</x:f>
      </x:c>
      <x:c r="L273" s="2">
        <x:f>IF($I273="","Planned",IF($I273&gt;$H273,"Over",IF($I273&lt;$H273,"Under","On plan")))</x:f>
      </x:c>
      <x:c r="M273" s="2">
        <x:f>IF($I273="","",IF(AND($J273&gt;50000,$K273&gt;0.2),"CRITICAL",""))</x:f>
      </x:c>
      <x:c r="N273" s="2" t="inlineStr">
        <x:is>
          <x:t xml:space="preserve">No</x:t>
        </x:is>
      </x:c>
      <x:c r="O273" s="3" t="inlineStr">
        <x:is>
          <x:t xml:space="preserve">факт не заполнен: расходы запланированы, но оплат ещё не было</x:t>
        </x:is>
      </x:c>
    </x:row>
    <x:row r="274">
      <x:c r="A274" s="2" t="n">
        <x:v>273</x:v>
      </x:c>
      <x:c r="B274" s="2" t="inlineStr">
        <x:is>
          <x:t xml:space="preserve">PRJ-301</x:t>
        </x:is>
      </x:c>
      <x:c r="C274" s="2" t="inlineStr">
        <x:is>
          <x:t xml:space="preserve">2025-11</x:t>
        </x:is>
      </x:c>
      <x:c r="D274" s="2" t="inlineStr">
        <x:is>
          <x:t xml:space="preserve">Planned</x:t>
        </x:is>
      </x:c>
      <x:c r="E274" s="3" t="inlineStr">
        <x:is>
          <x:t xml:space="preserve">Подряд</x:t>
        </x:is>
      </x:c>
      <x:c r="F274" s="3" t="inlineStr">
        <x:is>
          <x:t xml:space="preserve">Подряд: UX-исследование</x:t>
        </x:is>
      </x:c>
      <x:c r="G274" s="2" t="inlineStr">
        <x:is>
          <x:t xml:space="preserve">Analyst</x:t>
        </x:is>
      </x:c>
      <x:c r="H274" s="4" t="n">
        <x:v>54400</x:v>
      </x:c>
      <x:c r="I274" s="4" t="n"/>
      <x:c r="J274" s="4">
        <x:f>IF($I274="","",$I274-$H274)</x:f>
      </x:c>
      <x:c r="K274" s="5">
        <x:f>IF($I274="","",($I274-$H274)/$H274)</x:f>
      </x:c>
      <x:c r="L274" s="2">
        <x:f>IF($I274="","Planned",IF($I274&gt;$H274,"Over",IF($I274&lt;$H274,"Under","On plan")))</x:f>
      </x:c>
      <x:c r="M274" s="2">
        <x:f>IF($I274="","",IF(AND($J274&gt;50000,$K274&gt;0.2),"CRITICAL",""))</x:f>
      </x:c>
      <x:c r="N274" s="2" t="inlineStr">
        <x:is>
          <x:t xml:space="preserve">No</x:t>
        </x:is>
      </x:c>
      <x:c r="O274" s="3" t="inlineStr">
        <x:is>
          <x:t xml:space="preserve">факт не заполнен: счёт ещё не получен, данные появятся после закрытия месяца</x:t>
        </x:is>
      </x:c>
    </x:row>
    <x:row r="275">
      <x:c r="A275" s="2" t="n">
        <x:v>274</x:v>
      </x:c>
      <x:c r="B275" s="2" t="inlineStr">
        <x:is>
          <x:t xml:space="preserve">PRJ-301</x:t>
        </x:is>
      </x:c>
      <x:c r="C275" s="2" t="inlineStr">
        <x:is>
          <x:t xml:space="preserve">2025-11</x:t>
        </x:is>
      </x:c>
      <x:c r="D275" s="2" t="inlineStr">
        <x:is>
          <x:t xml:space="preserve">Planned</x:t>
        </x:is>
      </x:c>
      <x:c r="E275" s="3" t="inlineStr">
        <x:is>
          <x:t xml:space="preserve">Подряд</x:t>
        </x:is>
      </x:c>
      <x:c r="F275" s="3" t="inlineStr">
        <x:is>
          <x:t xml:space="preserve">Подряд: аналитика/BI</x:t>
        </x:is>
      </x:c>
      <x:c r="G275" s="2" t="inlineStr">
        <x:is>
          <x:t xml:space="preserve">Analyst</x:t>
        </x:is>
      </x:c>
      <x:c r="H275" s="4" t="n">
        <x:v>42900</x:v>
      </x:c>
      <x:c r="I275" s="4" t="n"/>
      <x:c r="J275" s="4">
        <x:f>IF($I275="","",$I275-$H275)</x:f>
      </x:c>
      <x:c r="K275" s="5">
        <x:f>IF($I275="","",($I275-$H275)/$H275)</x:f>
      </x:c>
      <x:c r="L275" s="2">
        <x:f>IF($I275="","Planned",IF($I275&gt;$H275,"Over",IF($I275&lt;$H275,"Under","On plan")))</x:f>
      </x:c>
      <x:c r="M275" s="2">
        <x:f>IF($I275="","",IF(AND($J275&gt;50000,$K275&gt;0.2),"CRITICAL",""))</x:f>
      </x:c>
      <x:c r="N275" s="2" t="inlineStr">
        <x:is>
          <x:t xml:space="preserve">No</x:t>
        </x:is>
      </x:c>
      <x:c r="O275" s="3" t="inlineStr">
        <x:is>
          <x:t xml:space="preserve">факт не заполнен: месяц в плане, ожидаем документы от поставщика</x:t>
        </x:is>
      </x:c>
    </x:row>
    <x:row r="276">
      <x:c r="A276" s="2" t="n">
        <x:v>275</x:v>
      </x:c>
      <x:c r="B276" s="2" t="inlineStr">
        <x:is>
          <x:t xml:space="preserve">PRJ-301</x:t>
        </x:is>
      </x:c>
      <x:c r="C276" s="2" t="inlineStr">
        <x:is>
          <x:t xml:space="preserve">2025-11</x:t>
        </x:is>
      </x:c>
      <x:c r="D276" s="2" t="inlineStr">
        <x:is>
          <x:t xml:space="preserve">Planned</x:t>
        </x:is>
      </x:c>
      <x:c r="E276" s="3" t="inlineStr">
        <x:is>
          <x:t xml:space="preserve">Подряд</x:t>
        </x:is>
      </x:c>
      <x:c r="F276" s="3" t="inlineStr">
        <x:is>
          <x:t xml:space="preserve">Подряд: разработка (внешние)</x:t>
        </x:is>
      </x:c>
      <x:c r="G276" s="2" t="inlineStr">
        <x:is>
          <x:t xml:space="preserve">Team Lead</x:t>
        </x:is>
      </x:c>
      <x:c r="H276" s="4" t="n">
        <x:v>129100</x:v>
      </x:c>
      <x:c r="I276" s="4" t="n"/>
      <x:c r="J276" s="4">
        <x:f>IF($I276="","",$I276-$H276)</x:f>
      </x:c>
      <x:c r="K276" s="5">
        <x:f>IF($I276="","",($I276-$H276)/$H276)</x:f>
      </x:c>
      <x:c r="L276" s="2">
        <x:f>IF($I276="","Planned",IF($I276&gt;$H276,"Over",IF($I276&lt;$H276,"Under","On plan")))</x:f>
      </x:c>
      <x:c r="M276" s="2">
        <x:f>IF($I276="","",IF(AND($J276&gt;50000,$K276&gt;0.2),"CRITICAL",""))</x:f>
      </x:c>
      <x:c r="N276" s="2" t="inlineStr">
        <x:is>
          <x:t xml:space="preserve">No</x:t>
        </x:is>
      </x:c>
      <x:c r="O276" s="3" t="inlineStr">
        <x:is>
          <x:t xml:space="preserve">факт не заполнен: расходы запланированы, но оплат ещё не было</x:t>
        </x:is>
      </x:c>
    </x:row>
    <x:row r="277">
      <x:c r="A277" s="2" t="n">
        <x:v>276</x:v>
      </x:c>
      <x:c r="B277" s="2" t="inlineStr">
        <x:is>
          <x:t xml:space="preserve">PRJ-301</x:t>
        </x:is>
      </x:c>
      <x:c r="C277" s="2" t="inlineStr">
        <x:is>
          <x:t xml:space="preserve">2025-12</x:t>
        </x:is>
      </x:c>
      <x:c r="D277" s="2" t="inlineStr">
        <x:is>
          <x:t xml:space="preserve">Planned</x:t>
        </x:is>
      </x:c>
      <x:c r="E277" s="3" t="inlineStr">
        <x:is>
          <x:t xml:space="preserve">Контент</x:t>
        </x:is>
      </x:c>
      <x:c r="F277" s="3" t="inlineStr">
        <x:is>
          <x:t xml:space="preserve">Фотосъёмка/материалы</x:t>
        </x:is>
      </x:c>
      <x:c r="G277" s="2" t="inlineStr">
        <x:is>
          <x:t xml:space="preserve">Marketing</x:t>
        </x:is>
      </x:c>
      <x:c r="H277" s="4" t="n">
        <x:v>22800</x:v>
      </x:c>
      <x:c r="I277" s="4" t="n"/>
      <x:c r="J277" s="4">
        <x:f>IF($I277="","",$I277-$H277)</x:f>
      </x:c>
      <x:c r="K277" s="5">
        <x:f>IF($I277="","",($I277-$H277)/$H277)</x:f>
      </x:c>
      <x:c r="L277" s="2">
        <x:f>IF($I277="","Planned",IF($I277&gt;$H277,"Over",IF($I277&lt;$H277,"Under","On plan")))</x:f>
      </x:c>
      <x:c r="M277" s="2">
        <x:f>IF($I277="","",IF(AND($J277&gt;50000,$K277&gt;0.2),"CRITICAL",""))</x:f>
      </x:c>
      <x:c r="N277" s="2" t="inlineStr">
        <x:is>
          <x:t xml:space="preserve">No</x:t>
        </x:is>
      </x:c>
      <x:c r="O277" s="3" t="inlineStr">
        <x:is>
          <x:t xml:space="preserve">факт не заполнен: счёт ещё не получен, данные появятся после закрытия месяца</x:t>
        </x:is>
      </x:c>
    </x:row>
    <x:row r="278">
      <x:c r="A278" s="2" t="n">
        <x:v>277</x:v>
      </x:c>
      <x:c r="B278" s="2" t="inlineStr">
        <x:is>
          <x:t xml:space="preserve">PRJ-301</x:t>
        </x:is>
      </x:c>
      <x:c r="C278" s="2" t="inlineStr">
        <x:is>
          <x:t xml:space="preserve">2025-12</x:t>
        </x:is>
      </x:c>
      <x:c r="D278" s="2" t="inlineStr">
        <x:is>
          <x:t xml:space="preserve">Planned</x:t>
        </x:is>
      </x:c>
      <x:c r="E278" s="3" t="inlineStr">
        <x:is>
          <x:t xml:space="preserve">Интеграции</x:t>
        </x:is>
      </x:c>
      <x:c r="F278" s="3" t="inlineStr">
        <x:is>
          <x:t xml:space="preserve">API-подписки (платные)</x:t>
        </x:is>
      </x:c>
      <x:c r="G278" s="2" t="inlineStr">
        <x:is>
          <x:t xml:space="preserve">Backend</x:t>
        </x:is>
      </x:c>
      <x:c r="H278" s="4" t="n">
        <x:v>19300</x:v>
      </x:c>
      <x:c r="I278" s="4" t="n"/>
      <x:c r="J278" s="4">
        <x:f>IF($I278="","",$I278-$H278)</x:f>
      </x:c>
      <x:c r="K278" s="5">
        <x:f>IF($I278="","",($I278-$H278)/$H278)</x:f>
      </x:c>
      <x:c r="L278" s="2">
        <x:f>IF($I278="","Planned",IF($I278&gt;$H278,"Over",IF($I278&lt;$H278,"Under","On plan")))</x:f>
      </x:c>
      <x:c r="M278" s="2">
        <x:f>IF($I278="","",IF(AND($J278&gt;50000,$K278&gt;0.2),"CRITICAL",""))</x:f>
      </x:c>
      <x:c r="N278" s="2" t="inlineStr">
        <x:is>
          <x:t xml:space="preserve">No</x:t>
        </x:is>
      </x:c>
      <x:c r="O278" s="3" t="inlineStr">
        <x:is>
          <x:t xml:space="preserve">факт не заполнен: счёт ещё не получен, данные появятся после закрытия месяца</x:t>
        </x:is>
      </x:c>
    </x:row>
    <x:row r="279">
      <x:c r="A279" s="2" t="n">
        <x:v>278</x:v>
      </x:c>
      <x:c r="B279" s="2" t="inlineStr">
        <x:is>
          <x:t xml:space="preserve">PRJ-301</x:t>
        </x:is>
      </x:c>
      <x:c r="C279" s="2" t="inlineStr">
        <x:is>
          <x:t xml:space="preserve">2025-12</x:t>
        </x:is>
      </x:c>
      <x:c r="D279" s="2" t="inlineStr">
        <x:is>
          <x:t xml:space="preserve">Planned</x:t>
        </x:is>
      </x:c>
      <x:c r="E279" s="3" t="inlineStr">
        <x:is>
          <x:t xml:space="preserve">Интеграции</x:t>
        </x:is>
      </x:c>
      <x:c r="F279" s="3" t="inlineStr">
        <x:is>
          <x:t xml:space="preserve">SMS/телефония</x:t>
        </x:is>
      </x:c>
      <x:c r="G279" s="2" t="inlineStr">
        <x:is>
          <x:t xml:space="preserve">Backend</x:t>
        </x:is>
      </x:c>
      <x:c r="H279" s="4" t="n">
        <x:v>4600</x:v>
      </x:c>
      <x:c r="I279" s="4" t="n"/>
      <x:c r="J279" s="4">
        <x:f>IF($I279="","",$I279-$H279)</x:f>
      </x:c>
      <x:c r="K279" s="5">
        <x:f>IF($I279="","",($I279-$H279)/$H279)</x:f>
      </x:c>
      <x:c r="L279" s="2">
        <x:f>IF($I279="","Planned",IF($I279&gt;$H279,"Over",IF($I279&lt;$H279,"Under","On plan")))</x:f>
      </x:c>
      <x:c r="M279" s="2">
        <x:f>IF($I279="","",IF(AND($J279&gt;50000,$K279&gt;0.2),"CRITICAL",""))</x:f>
      </x:c>
      <x:c r="N279" s="2" t="inlineStr">
        <x:is>
          <x:t xml:space="preserve">No</x:t>
        </x:is>
      </x:c>
      <x:c r="O279" s="3" t="inlineStr">
        <x:is>
          <x:t xml:space="preserve">факт не заполнен: месяц в плане, ожидаем документы от поставщика</x:t>
        </x:is>
      </x:c>
    </x:row>
    <x:row r="280">
      <x:c r="A280" s="2" t="n">
        <x:v>279</x:v>
      </x:c>
      <x:c r="B280" s="2" t="inlineStr">
        <x:is>
          <x:t xml:space="preserve">PRJ-301</x:t>
        </x:is>
      </x:c>
      <x:c r="C280" s="2" t="inlineStr">
        <x:is>
          <x:t xml:space="preserve">2025-12</x:t>
        </x:is>
      </x:c>
      <x:c r="D280" s="2" t="inlineStr">
        <x:is>
          <x:t xml:space="preserve">Planned</x:t>
        </x:is>
      </x:c>
      <x:c r="E280" s="3" t="inlineStr">
        <x:is>
          <x:t xml:space="preserve">Облако</x:t>
        </x:is>
      </x:c>
      <x:c r="F280" s="3" t="inlineStr">
        <x:is>
          <x:t xml:space="preserve">Облако: VM (compute)</x:t>
        </x:is>
      </x:c>
      <x:c r="G280" s="2" t="inlineStr">
        <x:is>
          <x:t xml:space="preserve">Team Lead</x:t>
        </x:is>
      </x:c>
      <x:c r="H280" s="4" t="n">
        <x:v>48500</x:v>
      </x:c>
      <x:c r="I280" s="4" t="n"/>
      <x:c r="J280" s="4">
        <x:f>IF($I280="","",$I280-$H280)</x:f>
      </x:c>
      <x:c r="K280" s="5">
        <x:f>IF($I280="","",($I280-$H280)/$H280)</x:f>
      </x:c>
      <x:c r="L280" s="2">
        <x:f>IF($I280="","Planned",IF($I280&gt;$H280,"Over",IF($I280&lt;$H280,"Under","On plan")))</x:f>
      </x:c>
      <x:c r="M280" s="2">
        <x:f>IF($I280="","",IF(AND($J280&gt;50000,$K280&gt;0.2),"CRITICAL",""))</x:f>
      </x:c>
      <x:c r="N280" s="2" t="inlineStr">
        <x:is>
          <x:t xml:space="preserve">No</x:t>
        </x:is>
      </x:c>
      <x:c r="O280" s="3" t="inlineStr">
        <x:is>
          <x:t xml:space="preserve">факт не заполнен: расходы запланированы, но оплат ещё не было</x:t>
        </x:is>
      </x:c>
    </x:row>
    <x:row r="281">
      <x:c r="A281" s="2" t="n">
        <x:v>280</x:v>
      </x:c>
      <x:c r="B281" s="2" t="inlineStr">
        <x:is>
          <x:t xml:space="preserve">PRJ-301</x:t>
        </x:is>
      </x:c>
      <x:c r="C281" s="2" t="inlineStr">
        <x:is>
          <x:t xml:space="preserve">2025-12</x:t>
        </x:is>
      </x:c>
      <x:c r="D281" s="2" t="inlineStr">
        <x:is>
          <x:t xml:space="preserve">Planned</x:t>
        </x:is>
      </x:c>
      <x:c r="E281" s="3" t="inlineStr">
        <x:is>
          <x:t xml:space="preserve">Облако</x:t>
        </x:is>
      </x:c>
      <x:c r="F281" s="3" t="inlineStr">
        <x:is>
          <x:t xml:space="preserve">Облако: Storage (object)</x:t>
        </x:is>
      </x:c>
      <x:c r="G281" s="2" t="inlineStr">
        <x:is>
          <x:t xml:space="preserve">Backend</x:t>
        </x:is>
      </x:c>
      <x:c r="H281" s="4" t="n">
        <x:v>16800</x:v>
      </x:c>
      <x:c r="I281" s="4" t="n"/>
      <x:c r="J281" s="4">
        <x:f>IF($I281="","",$I281-$H281)</x:f>
      </x:c>
      <x:c r="K281" s="5">
        <x:f>IF($I281="","",($I281-$H281)/$H281)</x:f>
      </x:c>
      <x:c r="L281" s="2">
        <x:f>IF($I281="","Planned",IF($I281&gt;$H281,"Over",IF($I281&lt;$H281,"Under","On plan")))</x:f>
      </x:c>
      <x:c r="M281" s="2">
        <x:f>IF($I281="","",IF(AND($J281&gt;50000,$K281&gt;0.2),"CRITICAL",""))</x:f>
      </x:c>
      <x:c r="N281" s="2" t="inlineStr">
        <x:is>
          <x:t xml:space="preserve">No</x:t>
        </x:is>
      </x:c>
      <x:c r="O281" s="3" t="inlineStr">
        <x:is>
          <x:t xml:space="preserve">факт не заполнен: расходы запланированы, но оплат ещё не было</x:t>
        </x:is>
      </x:c>
    </x:row>
    <x:row r="282">
      <x:c r="A282" s="2" t="n">
        <x:v>281</x:v>
      </x:c>
      <x:c r="B282" s="2" t="inlineStr">
        <x:is>
          <x:t xml:space="preserve">PRJ-301</x:t>
        </x:is>
      </x:c>
      <x:c r="C282" s="2" t="inlineStr">
        <x:is>
          <x:t xml:space="preserve">2025-12</x:t>
        </x:is>
      </x:c>
      <x:c r="D282" s="2" t="inlineStr">
        <x:is>
          <x:t xml:space="preserve">Planned</x:t>
        </x:is>
      </x:c>
      <x:c r="E282" s="3" t="inlineStr">
        <x:is>
          <x:t xml:space="preserve">Облако</x:t>
        </x:is>
      </x:c>
      <x:c r="F282" s="3" t="inlineStr">
        <x:is>
          <x:t xml:space="preserve">Облако: DB managed</x:t>
        </x:is>
      </x:c>
      <x:c r="G282" s="2" t="inlineStr">
        <x:is>
          <x:t xml:space="preserve">Backend</x:t>
        </x:is>
      </x:c>
      <x:c r="H282" s="4" t="n">
        <x:v>29800</x:v>
      </x:c>
      <x:c r="I282" s="4" t="n"/>
      <x:c r="J282" s="4">
        <x:f>IF($I282="","",$I282-$H282)</x:f>
      </x:c>
      <x:c r="K282" s="5">
        <x:f>IF($I282="","",($I282-$H282)/$H282)</x:f>
      </x:c>
      <x:c r="L282" s="2">
        <x:f>IF($I282="","Planned",IF($I282&gt;$H282,"Over",IF($I282&lt;$H282,"Under","On plan")))</x:f>
      </x:c>
      <x:c r="M282" s="2">
        <x:f>IF($I282="","",IF(AND($J282&gt;50000,$K282&gt;0.2),"CRITICAL",""))</x:f>
      </x:c>
      <x:c r="N282" s="2" t="inlineStr">
        <x:is>
          <x:t xml:space="preserve">No</x:t>
        </x:is>
      </x:c>
      <x:c r="O282" s="3" t="inlineStr">
        <x:is>
          <x:t xml:space="preserve">факт не заполнен: месяц в плане, ожидаем документы от поставщика</x:t>
        </x:is>
      </x:c>
    </x:row>
    <x:row r="283">
      <x:c r="A283" s="2" t="n">
        <x:v>282</x:v>
      </x:c>
      <x:c r="B283" s="2" t="inlineStr">
        <x:is>
          <x:t xml:space="preserve">PRJ-301</x:t>
        </x:is>
      </x:c>
      <x:c r="C283" s="2" t="inlineStr">
        <x:is>
          <x:t xml:space="preserve">2025-12</x:t>
        </x:is>
      </x:c>
      <x:c r="D283" s="2" t="inlineStr">
        <x:is>
          <x:t xml:space="preserve">Planned</x:t>
        </x:is>
      </x:c>
      <x:c r="E283" s="3" t="inlineStr">
        <x:is>
          <x:t xml:space="preserve">Облако</x:t>
        </x:is>
      </x:c>
      <x:c r="F283" s="3" t="inlineStr">
        <x:is>
          <x:t xml:space="preserve">Облако: CDN/Traffic</x:t>
        </x:is>
      </x:c>
      <x:c r="G283" s="2" t="inlineStr">
        <x:is>
          <x:t xml:space="preserve">DevOps</x:t>
        </x:is>
      </x:c>
      <x:c r="H283" s="4" t="n">
        <x:v>12800</x:v>
      </x:c>
      <x:c r="I283" s="4" t="n"/>
      <x:c r="J283" s="4">
        <x:f>IF($I283="","",$I283-$H283)</x:f>
      </x:c>
      <x:c r="K283" s="5">
        <x:f>IF($I283="","",($I283-$H283)/$H283)</x:f>
      </x:c>
      <x:c r="L283" s="2">
        <x:f>IF($I283="","Planned",IF($I283&gt;$H283,"Over",IF($I283&lt;$H283,"Under","On plan")))</x:f>
      </x:c>
      <x:c r="M283" s="2">
        <x:f>IF($I283="","",IF(AND($J283&gt;50000,$K283&gt;0.2),"CRITICAL",""))</x:f>
      </x:c>
      <x:c r="N283" s="2" t="inlineStr">
        <x:is>
          <x:t xml:space="preserve">No</x:t>
        </x:is>
      </x:c>
      <x:c r="O283" s="3" t="inlineStr">
        <x:is>
          <x:t xml:space="preserve">факт не заполнен: расходы запланированы, но оплат ещё не было</x:t>
        </x:is>
      </x:c>
    </x:row>
    <x:row r="284">
      <x:c r="A284" s="2" t="n">
        <x:v>283</x:v>
      </x:c>
      <x:c r="B284" s="2" t="inlineStr">
        <x:is>
          <x:t xml:space="preserve">PRJ-301</x:t>
        </x:is>
      </x:c>
      <x:c r="C284" s="2" t="inlineStr">
        <x:is>
          <x:t xml:space="preserve">2025-12</x:t>
        </x:is>
      </x:c>
      <x:c r="D284" s="2" t="inlineStr">
        <x:is>
          <x:t xml:space="preserve">Planned</x:t>
        </x:is>
      </x:c>
      <x:c r="E284" s="3" t="inlineStr">
        <x:is>
          <x:t xml:space="preserve">Инфраструктура</x:t>
        </x:is>
      </x:c>
      <x:c r="F284" s="3" t="inlineStr">
        <x:is>
          <x:t xml:space="preserve">CI/CD runners</x:t>
        </x:is>
      </x:c>
      <x:c r="G284" s="2" t="inlineStr">
        <x:is>
          <x:t xml:space="preserve">DevOps</x:t>
        </x:is>
      </x:c>
      <x:c r="H284" s="4" t="n">
        <x:v>16200</x:v>
      </x:c>
      <x:c r="I284" s="4" t="n"/>
      <x:c r="J284" s="4">
        <x:f>IF($I284="","",$I284-$H284)</x:f>
      </x:c>
      <x:c r="K284" s="5">
        <x:f>IF($I284="","",($I284-$H284)/$H284)</x:f>
      </x:c>
      <x:c r="L284" s="2">
        <x:f>IF($I284="","Planned",IF($I284&gt;$H284,"Over",IF($I284&lt;$H284,"Under","On plan")))</x:f>
      </x:c>
      <x:c r="M284" s="2">
        <x:f>IF($I284="","",IF(AND($J284&gt;50000,$K284&gt;0.2),"CRITICAL",""))</x:f>
      </x:c>
      <x:c r="N284" s="2" t="inlineStr">
        <x:is>
          <x:t xml:space="preserve">No</x:t>
        </x:is>
      </x:c>
      <x:c r="O284" s="3" t="inlineStr">
        <x:is>
          <x:t xml:space="preserve">факт не заполнен: месяц в плане, ожидаем документы от поставщика</x:t>
        </x:is>
      </x:c>
    </x:row>
    <x:row r="285">
      <x:c r="A285" s="2" t="n">
        <x:v>284</x:v>
      </x:c>
      <x:c r="B285" s="2" t="inlineStr">
        <x:is>
          <x:t xml:space="preserve">PRJ-301</x:t>
        </x:is>
      </x:c>
      <x:c r="C285" s="2" t="inlineStr">
        <x:is>
          <x:t xml:space="preserve">2025-12</x:t>
        </x:is>
      </x:c>
      <x:c r="D285" s="2" t="inlineStr">
        <x:is>
          <x:t xml:space="preserve">Planned</x:t>
        </x:is>
      </x:c>
      <x:c r="E285" s="3" t="inlineStr">
        <x:is>
          <x:t xml:space="preserve">Инфраструктура</x:t>
        </x:is>
      </x:c>
      <x:c r="F285" s="3" t="inlineStr">
        <x:is>
          <x:t xml:space="preserve">Мониторинг/логирование</x:t>
        </x:is>
      </x:c>
      <x:c r="G285" s="2" t="inlineStr">
        <x:is>
          <x:t xml:space="preserve">DevOps</x:t>
        </x:is>
      </x:c>
      <x:c r="H285" s="4" t="n">
        <x:v>10100</x:v>
      </x:c>
      <x:c r="I285" s="4" t="n"/>
      <x:c r="J285" s="4">
        <x:f>IF($I285="","",$I285-$H285)</x:f>
      </x:c>
      <x:c r="K285" s="5">
        <x:f>IF($I285="","",($I285-$H285)/$H285)</x:f>
      </x:c>
      <x:c r="L285" s="2">
        <x:f>IF($I285="","Planned",IF($I285&gt;$H285,"Over",IF($I285&lt;$H285,"Under","On plan")))</x:f>
      </x:c>
      <x:c r="M285" s="2">
        <x:f>IF($I285="","",IF(AND($J285&gt;50000,$K285&gt;0.2),"CRITICAL",""))</x:f>
      </x:c>
      <x:c r="N285" s="2" t="inlineStr">
        <x:is>
          <x:t xml:space="preserve">No</x:t>
        </x:is>
      </x:c>
      <x:c r="O285" s="3" t="inlineStr">
        <x:is>
          <x:t xml:space="preserve">факт не заполнен: расходы запланированы, но оплат ещё не было</x:t>
        </x:is>
      </x:c>
    </x:row>
    <x:row r="286">
      <x:c r="A286" s="2" t="n">
        <x:v>285</x:v>
      </x:c>
      <x:c r="B286" s="2" t="inlineStr">
        <x:is>
          <x:t xml:space="preserve">PRJ-301</x:t>
        </x:is>
      </x:c>
      <x:c r="C286" s="2" t="inlineStr">
        <x:is>
          <x:t xml:space="preserve">2025-12</x:t>
        </x:is>
      </x:c>
      <x:c r="D286" s="2" t="inlineStr">
        <x:is>
          <x:t xml:space="preserve">Planned</x:t>
        </x:is>
      </x:c>
      <x:c r="E286" s="3" t="inlineStr">
        <x:is>
          <x:t xml:space="preserve">Инфраструктура</x:t>
        </x:is>
      </x:c>
      <x:c r="F286" s="3" t="inlineStr">
        <x:is>
          <x:t xml:space="preserve">Домен + SSL</x:t>
        </x:is>
      </x:c>
      <x:c r="G286" s="2" t="inlineStr">
        <x:is>
          <x:t xml:space="preserve">Admin</x:t>
        </x:is>
      </x:c>
      <x:c r="H286" s="4" t="n">
        <x:v>6400</x:v>
      </x:c>
      <x:c r="I286" s="4" t="n"/>
      <x:c r="J286" s="4">
        <x:f>IF($I286="","",$I286-$H286)</x:f>
      </x:c>
      <x:c r="K286" s="5">
        <x:f>IF($I286="","",($I286-$H286)/$H286)</x:f>
      </x:c>
      <x:c r="L286" s="2">
        <x:f>IF($I286="","Planned",IF($I286&gt;$H286,"Over",IF($I286&lt;$H286,"Under","On plan")))</x:f>
      </x:c>
      <x:c r="M286" s="2">
        <x:f>IF($I286="","",IF(AND($J286&gt;50000,$K286&gt;0.2),"CRITICAL",""))</x:f>
      </x:c>
      <x:c r="N286" s="2" t="inlineStr">
        <x:is>
          <x:t xml:space="preserve">No</x:t>
        </x:is>
      </x:c>
      <x:c r="O286" s="3" t="inlineStr">
        <x:is>
          <x:t xml:space="preserve">факт не заполнен: ожидается счёт/акт, поэтому пока только план</x:t>
        </x:is>
      </x:c>
    </x:row>
    <x:row r="287">
      <x:c r="A287" s="2" t="n">
        <x:v>286</x:v>
      </x:c>
      <x:c r="B287" s="2" t="inlineStr">
        <x:is>
          <x:t xml:space="preserve">PRJ-301</x:t>
        </x:is>
      </x:c>
      <x:c r="C287" s="2" t="inlineStr">
        <x:is>
          <x:t xml:space="preserve">2025-12</x:t>
        </x:is>
      </x:c>
      <x:c r="D287" s="2" t="inlineStr">
        <x:is>
          <x:t xml:space="preserve">Planned</x:t>
        </x:is>
      </x:c>
      <x:c r="E287" s="3" t="inlineStr">
        <x:is>
          <x:t xml:space="preserve">ПО/Лицензии</x:t>
        </x:is>
      </x:c>
      <x:c r="F287" s="3" t="inlineStr">
        <x:is>
          <x:t xml:space="preserve">Лицензии IDE</x:t>
        </x:is>
      </x:c>
      <x:c r="G287" s="2" t="inlineStr">
        <x:is>
          <x:t xml:space="preserve">Admin</x:t>
        </x:is>
      </x:c>
      <x:c r="H287" s="4" t="n">
        <x:v>18300</x:v>
      </x:c>
      <x:c r="I287" s="4" t="n"/>
      <x:c r="J287" s="4">
        <x:f>IF($I287="","",$I287-$H287)</x:f>
      </x:c>
      <x:c r="K287" s="5">
        <x:f>IF($I287="","",($I287-$H287)/$H287)</x:f>
      </x:c>
      <x:c r="L287" s="2">
        <x:f>IF($I287="","Planned",IF($I287&gt;$H287,"Over",IF($I287&lt;$H287,"Under","On plan")))</x:f>
      </x:c>
      <x:c r="M287" s="2">
        <x:f>IF($I287="","",IF(AND($J287&gt;50000,$K287&gt;0.2),"CRITICAL",""))</x:f>
      </x:c>
      <x:c r="N287" s="2" t="inlineStr">
        <x:is>
          <x:t xml:space="preserve">No</x:t>
        </x:is>
      </x:c>
      <x:c r="O287" s="3" t="inlineStr">
        <x:is>
          <x:t xml:space="preserve">факт не заполнен: расходы запланированы, но оплат ещё не было</x:t>
        </x:is>
      </x:c>
    </x:row>
    <x:row r="288">
      <x:c r="A288" s="2" t="n">
        <x:v>287</x:v>
      </x:c>
      <x:c r="B288" s="2" t="inlineStr">
        <x:is>
          <x:t xml:space="preserve">PRJ-301</x:t>
        </x:is>
      </x:c>
      <x:c r="C288" s="2" t="inlineStr">
        <x:is>
          <x:t xml:space="preserve">2025-12</x:t>
        </x:is>
      </x:c>
      <x:c r="D288" s="2" t="inlineStr">
        <x:is>
          <x:t xml:space="preserve">Planned</x:t>
        </x:is>
      </x:c>
      <x:c r="E288" s="3" t="inlineStr">
        <x:is>
          <x:t xml:space="preserve">ПО/Лицензии</x:t>
        </x:is>
      </x:c>
      <x:c r="F288" s="3" t="inlineStr">
        <x:is>
          <x:t xml:space="preserve">Figma/Design tools</x:t>
        </x:is>
      </x:c>
      <x:c r="G288" s="2" t="inlineStr">
        <x:is>
          <x:t xml:space="preserve">Designer</x:t>
        </x:is>
      </x:c>
      <x:c r="H288" s="4" t="n">
        <x:v>7800</x:v>
      </x:c>
      <x:c r="I288" s="4" t="n"/>
      <x:c r="J288" s="4">
        <x:f>IF($I288="","",$I288-$H288)</x:f>
      </x:c>
      <x:c r="K288" s="5">
        <x:f>IF($I288="","",($I288-$H288)/$H288)</x:f>
      </x:c>
      <x:c r="L288" s="2">
        <x:f>IF($I288="","Planned",IF($I288&gt;$H288,"Over",IF($I288&lt;$H288,"Under","On plan")))</x:f>
      </x:c>
      <x:c r="M288" s="2">
        <x:f>IF($I288="","",IF(AND($J288&gt;50000,$K288&gt;0.2),"CRITICAL",""))</x:f>
      </x:c>
      <x:c r="N288" s="2" t="inlineStr">
        <x:is>
          <x:t xml:space="preserve">No</x:t>
        </x:is>
      </x:c>
      <x:c r="O288" s="3" t="inlineStr">
        <x:is>
          <x:t xml:space="preserve">факт не заполнен: счёт ещё не получен, данные появятся после закрытия месяца</x:t>
        </x:is>
      </x:c>
    </x:row>
    <x:row r="289">
      <x:c r="A289" s="2" t="n">
        <x:v>288</x:v>
      </x:c>
      <x:c r="B289" s="2" t="inlineStr">
        <x:is>
          <x:t xml:space="preserve">PRJ-301</x:t>
        </x:is>
      </x:c>
      <x:c r="C289" s="2" t="inlineStr">
        <x:is>
          <x:t xml:space="preserve">2025-12</x:t>
        </x:is>
      </x:c>
      <x:c r="D289" s="2" t="inlineStr">
        <x:is>
          <x:t xml:space="preserve">Planned</x:t>
        </x:is>
      </x:c>
      <x:c r="E289" s="3" t="inlineStr">
        <x:is>
          <x:t xml:space="preserve">ПО/Лицензии</x:t>
        </x:is>
      </x:c>
      <x:c r="F289" s="3" t="inlineStr">
        <x:is>
          <x:t xml:space="preserve">Jira/Confluence</x:t>
        </x:is>
      </x:c>
      <x:c r="G289" s="2" t="inlineStr">
        <x:is>
          <x:t xml:space="preserve">PM</x:t>
        </x:is>
      </x:c>
      <x:c r="H289" s="4" t="n">
        <x:v>4200</x:v>
      </x:c>
      <x:c r="I289" s="4" t="n"/>
      <x:c r="J289" s="4">
        <x:f>IF($I289="","",$I289-$H289)</x:f>
      </x:c>
      <x:c r="K289" s="5">
        <x:f>IF($I289="","",($I289-$H289)/$H289)</x:f>
      </x:c>
      <x:c r="L289" s="2">
        <x:f>IF($I289="","Planned",IF($I289&gt;$H289,"Over",IF($I289&lt;$H289,"Under","On plan")))</x:f>
      </x:c>
      <x:c r="M289" s="2">
        <x:f>IF($I289="","",IF(AND($J289&gt;50000,$K289&gt;0.2),"CRITICAL",""))</x:f>
      </x:c>
      <x:c r="N289" s="2" t="inlineStr">
        <x:is>
          <x:t xml:space="preserve">No</x:t>
        </x:is>
      </x:c>
      <x:c r="O289" s="3" t="inlineStr">
        <x:is>
          <x:t xml:space="preserve">факт не заполнен: счёт ещё не получен, данные появятся после закрытия месяца</x:t>
        </x:is>
      </x:c>
    </x:row>
    <x:row r="290">
      <x:c r="A290" s="2" t="n">
        <x:v>289</x:v>
      </x:c>
      <x:c r="B290" s="2" t="inlineStr">
        <x:is>
          <x:t xml:space="preserve">PRJ-301</x:t>
        </x:is>
      </x:c>
      <x:c r="C290" s="2" t="inlineStr">
        <x:is>
          <x:t xml:space="preserve">2025-12</x:t>
        </x:is>
      </x:c>
      <x:c r="D290" s="2" t="inlineStr">
        <x:is>
          <x:t xml:space="preserve">Planned</x:t>
        </x:is>
      </x:c>
      <x:c r="E290" s="3" t="inlineStr">
        <x:is>
          <x:t xml:space="preserve">ПО/Лицензии</x:t>
        </x:is>
      </x:c>
      <x:c r="F290" s="3" t="inlineStr">
        <x:is>
          <x:t xml:space="preserve">Email/рассылки</x:t>
        </x:is>
      </x:c>
      <x:c r="G290" s="2" t="inlineStr">
        <x:is>
          <x:t xml:space="preserve">Backend</x:t>
        </x:is>
      </x:c>
      <x:c r="H290" s="4" t="n">
        <x:v>4400</x:v>
      </x:c>
      <x:c r="I290" s="4" t="n"/>
      <x:c r="J290" s="4">
        <x:f>IF($I290="","",$I290-$H290)</x:f>
      </x:c>
      <x:c r="K290" s="5">
        <x:f>IF($I290="","",($I290-$H290)/$H290)</x:f>
      </x:c>
      <x:c r="L290" s="2">
        <x:f>IF($I290="","Planned",IF($I290&gt;$H290,"Over",IF($I290&lt;$H290,"Under","On plan")))</x:f>
      </x:c>
      <x:c r="M290" s="2">
        <x:f>IF($I290="","",IF(AND($J290&gt;50000,$K290&gt;0.2),"CRITICAL",""))</x:f>
      </x:c>
      <x:c r="N290" s="2" t="inlineStr">
        <x:is>
          <x:t xml:space="preserve">No</x:t>
        </x:is>
      </x:c>
      <x:c r="O290" s="3" t="inlineStr">
        <x:is>
          <x:t xml:space="preserve">факт не заполнен: ожидается счёт/акт, поэтому пока только план</x:t>
        </x:is>
      </x:c>
    </x:row>
    <x:row r="291">
      <x:c r="A291" s="2" t="n">
        <x:v>290</x:v>
      </x:c>
      <x:c r="B291" s="2" t="inlineStr">
        <x:is>
          <x:t xml:space="preserve">PRJ-301</x:t>
        </x:is>
      </x:c>
      <x:c r="C291" s="2" t="inlineStr">
        <x:is>
          <x:t xml:space="preserve">2025-12</x:t>
        </x:is>
      </x:c>
      <x:c r="D291" s="2" t="inlineStr">
        <x:is>
          <x:t xml:space="preserve">Planned</x:t>
        </x:is>
      </x:c>
      <x:c r="E291" s="3" t="inlineStr">
        <x:is>
          <x:t xml:space="preserve">Подряд</x:t>
        </x:is>
      </x:c>
      <x:c r="F291" s="3" t="inlineStr">
        <x:is>
          <x:t xml:space="preserve">Подряд: дизайн (иллюстрации)</x:t>
        </x:is>
      </x:c>
      <x:c r="G291" s="2" t="inlineStr">
        <x:is>
          <x:t xml:space="preserve">Designer</x:t>
        </x:is>
      </x:c>
      <x:c r="H291" s="4" t="n">
        <x:v>48200</x:v>
      </x:c>
      <x:c r="I291" s="4" t="n"/>
      <x:c r="J291" s="4">
        <x:f>IF($I291="","",$I291-$H291)</x:f>
      </x:c>
      <x:c r="K291" s="5">
        <x:f>IF($I291="","",($I291-$H291)/$H291)</x:f>
      </x:c>
      <x:c r="L291" s="2">
        <x:f>IF($I291="","Planned",IF($I291&gt;$H291,"Over",IF($I291&lt;$H291,"Under","On plan")))</x:f>
      </x:c>
      <x:c r="M291" s="2">
        <x:f>IF($I291="","",IF(AND($J291&gt;50000,$K291&gt;0.2),"CRITICAL",""))</x:f>
      </x:c>
      <x:c r="N291" s="2" t="inlineStr">
        <x:is>
          <x:t xml:space="preserve">No</x:t>
        </x:is>
      </x:c>
      <x:c r="O291" s="3" t="inlineStr">
        <x:is>
          <x:t xml:space="preserve">факт не заполнен: расходы запланированы, но оплат ещё не было</x:t>
        </x:is>
      </x:c>
    </x:row>
    <x:row r="292">
      <x:c r="A292" s="2" t="n">
        <x:v>291</x:v>
      </x:c>
      <x:c r="B292" s="2" t="inlineStr">
        <x:is>
          <x:t xml:space="preserve">PRJ-301</x:t>
        </x:is>
      </x:c>
      <x:c r="C292" s="2" t="inlineStr">
        <x:is>
          <x:t xml:space="preserve">2025-12</x:t>
        </x:is>
      </x:c>
      <x:c r="D292" s="2" t="inlineStr">
        <x:is>
          <x:t xml:space="preserve">Planned</x:t>
        </x:is>
      </x:c>
      <x:c r="E292" s="3" t="inlineStr">
        <x:is>
          <x:t xml:space="preserve">Подряд</x:t>
        </x:is>
      </x:c>
      <x:c r="F292" s="3" t="inlineStr">
        <x:is>
          <x:t xml:space="preserve">Подряд: UX-исследование</x:t>
        </x:is>
      </x:c>
      <x:c r="G292" s="2" t="inlineStr">
        <x:is>
          <x:t xml:space="preserve">Analyst</x:t>
        </x:is>
      </x:c>
      <x:c r="H292" s="4" t="n">
        <x:v>55300</x:v>
      </x:c>
      <x:c r="I292" s="4" t="n"/>
      <x:c r="J292" s="4">
        <x:f>IF($I292="","",$I292-$H292)</x:f>
      </x:c>
      <x:c r="K292" s="5">
        <x:f>IF($I292="","",($I292-$H292)/$H292)</x:f>
      </x:c>
      <x:c r="L292" s="2">
        <x:f>IF($I292="","Planned",IF($I292&gt;$H292,"Over",IF($I292&lt;$H292,"Under","On plan")))</x:f>
      </x:c>
      <x:c r="M292" s="2">
        <x:f>IF($I292="","",IF(AND($J292&gt;50000,$K292&gt;0.2),"CRITICAL",""))</x:f>
      </x:c>
      <x:c r="N292" s="2" t="inlineStr">
        <x:is>
          <x:t xml:space="preserve">No</x:t>
        </x:is>
      </x:c>
      <x:c r="O292" s="3" t="inlineStr">
        <x:is>
          <x:t xml:space="preserve">факт не заполнен: счёт ещё не получен, данные появятся после закрытия месяца</x:t>
        </x:is>
      </x:c>
    </x:row>
    <x:row r="293">
      <x:c r="A293" s="2" t="n">
        <x:v>292</x:v>
      </x:c>
      <x:c r="B293" s="2" t="inlineStr">
        <x:is>
          <x:t xml:space="preserve">PRJ-301</x:t>
        </x:is>
      </x:c>
      <x:c r="C293" s="2" t="inlineStr">
        <x:is>
          <x:t xml:space="preserve">2025-12</x:t>
        </x:is>
      </x:c>
      <x:c r="D293" s="2" t="inlineStr">
        <x:is>
          <x:t xml:space="preserve">Planned</x:t>
        </x:is>
      </x:c>
      <x:c r="E293" s="3" t="inlineStr">
        <x:is>
          <x:t xml:space="preserve">Подряд</x:t>
        </x:is>
      </x:c>
      <x:c r="F293" s="3" t="inlineStr">
        <x:is>
          <x:t xml:space="preserve">Подряд: аналитика/BI</x:t>
        </x:is>
      </x:c>
      <x:c r="G293" s="2" t="inlineStr">
        <x:is>
          <x:t xml:space="preserve">Analyst</x:t>
        </x:is>
      </x:c>
      <x:c r="H293" s="4" t="n">
        <x:v>90400</x:v>
      </x:c>
      <x:c r="I293" s="4" t="n"/>
      <x:c r="J293" s="4">
        <x:f>IF($I293="","",$I293-$H293)</x:f>
      </x:c>
      <x:c r="K293" s="5">
        <x:f>IF($I293="","",($I293-$H293)/$H293)</x:f>
      </x:c>
      <x:c r="L293" s="2">
        <x:f>IF($I293="","Planned",IF($I293&gt;$H293,"Over",IF($I293&lt;$H293,"Under","On plan")))</x:f>
      </x:c>
      <x:c r="M293" s="2">
        <x:f>IF($I293="","",IF(AND($J293&gt;50000,$K293&gt;0.2),"CRITICAL",""))</x:f>
      </x:c>
      <x:c r="N293" s="2" t="inlineStr">
        <x:is>
          <x:t xml:space="preserve">No</x:t>
        </x:is>
      </x:c>
      <x:c r="O293" s="3" t="inlineStr">
        <x:is>
          <x:t xml:space="preserve">факт не заполнен: счёт ещё не получен, данные появятся после закрытия месяца</x:t>
        </x:is>
      </x:c>
    </x:row>
    <x:row r="294">
      <x:c r="A294" s="2" t="n">
        <x:v>293</x:v>
      </x:c>
      <x:c r="B294" s="2" t="inlineStr">
        <x:is>
          <x:t xml:space="preserve">PRJ-301</x:t>
        </x:is>
      </x:c>
      <x:c r="C294" s="2" t="inlineStr">
        <x:is>
          <x:t xml:space="preserve">2025-12</x:t>
        </x:is>
      </x:c>
      <x:c r="D294" s="2" t="inlineStr">
        <x:is>
          <x:t xml:space="preserve">Planned</x:t>
        </x:is>
      </x:c>
      <x:c r="E294" s="3" t="inlineStr">
        <x:is>
          <x:t xml:space="preserve">Подряд</x:t>
        </x:is>
      </x:c>
      <x:c r="F294" s="3" t="inlineStr">
        <x:is>
          <x:t xml:space="preserve">Подряд: разработка (внешние)</x:t>
        </x:is>
      </x:c>
      <x:c r="G294" s="2" t="inlineStr">
        <x:is>
          <x:t xml:space="preserve">Team Lead</x:t>
        </x:is>
      </x:c>
      <x:c r="H294" s="4" t="n">
        <x:v>58000</x:v>
      </x:c>
      <x:c r="I294" s="4" t="n"/>
      <x:c r="J294" s="4">
        <x:f>IF($I294="","",$I294-$H294)</x:f>
      </x:c>
      <x:c r="K294" s="5">
        <x:f>IF($I294="","",($I294-$H294)/$H294)</x:f>
      </x:c>
      <x:c r="L294" s="2">
        <x:f>IF($I294="","Planned",IF($I294&gt;$H294,"Over",IF($I294&lt;$H294,"Under","On plan")))</x:f>
      </x:c>
      <x:c r="M294" s="2">
        <x:f>IF($I294="","",IF(AND($J294&gt;50000,$K294&gt;0.2),"CRITICAL",""))</x:f>
      </x:c>
      <x:c r="N294" s="2" t="inlineStr">
        <x:is>
          <x:t xml:space="preserve">No</x:t>
        </x:is>
      </x:c>
      <x:c r="O294" s="3" t="inlineStr">
        <x:is>
          <x:t xml:space="preserve">факт не заполнен: расходы запланированы, но оплат ещё не было</x:t>
        </x:is>
      </x:c>
    </x:row>
    <x:row r="295">
      <x:c r="A295" s="2" t="n">
        <x:v>294</x:v>
      </x:c>
      <x:c r="B295" s="2" t="inlineStr">
        <x:is>
          <x:t xml:space="preserve">PRJ-301</x:t>
        </x:is>
      </x:c>
      <x:c r="C295" s="2" t="inlineStr">
        <x:is>
          <x:t xml:space="preserve">2025-12</x:t>
        </x:is>
      </x:c>
      <x:c r="D295" s="2" t="inlineStr">
        <x:is>
          <x:t xml:space="preserve">Planned</x:t>
        </x:is>
      </x:c>
      <x:c r="E295" s="3" t="inlineStr">
        <x:is>
          <x:t xml:space="preserve">Маркетинг</x:t>
        </x:is>
      </x:c>
      <x:c r="F295" s="3" t="inlineStr">
        <x:is>
          <x:t xml:space="preserve">Маркетинг: лендинг</x:t>
        </x:is>
      </x:c>
      <x:c r="G295" s="2" t="inlineStr">
        <x:is>
          <x:t xml:space="preserve">Marketing</x:t>
        </x:is>
      </x:c>
      <x:c r="H295" s="4" t="n">
        <x:v>13700</x:v>
      </x:c>
      <x:c r="I295" s="4" t="n"/>
      <x:c r="J295" s="4">
        <x:f>IF($I295="","",$I295-$H295)</x:f>
      </x:c>
      <x:c r="K295" s="5">
        <x:f>IF($I295="","",($I295-$H295)/$H295)</x:f>
      </x:c>
      <x:c r="L295" s="2">
        <x:f>IF($I295="","Planned",IF($I295&gt;$H295,"Over",IF($I295&lt;$H295,"Under","On plan")))</x:f>
      </x:c>
      <x:c r="M295" s="2">
        <x:f>IF($I295="","",IF(AND($J295&gt;50000,$K295&gt;0.2),"CRITICAL",""))</x:f>
      </x:c>
      <x:c r="N295" s="2" t="inlineStr">
        <x:is>
          <x:t xml:space="preserve">No</x:t>
        </x:is>
      </x:c>
      <x:c r="O295" s="3" t="inlineStr">
        <x:is>
          <x:t xml:space="preserve">факт не заполнен: месяц в плане, ожидаем документы от поставщика</x:t>
        </x:is>
      </x:c>
    </x:row>
    <x:row r="296">
      <x:c r="A296" s="2" t="n">
        <x:v>295</x:v>
      </x:c>
      <x:c r="B296" s="2" t="inlineStr">
        <x:is>
          <x:t xml:space="preserve">PRJ-301</x:t>
        </x:is>
      </x:c>
      <x:c r="C296" s="2" t="inlineStr">
        <x:is>
          <x:t xml:space="preserve">2025-12</x:t>
        </x:is>
      </x:c>
      <x:c r="D296" s="2" t="inlineStr">
        <x:is>
          <x:t xml:space="preserve">Planned</x:t>
        </x:is>
      </x:c>
      <x:c r="E296" s="3" t="inlineStr">
        <x:is>
          <x:t xml:space="preserve">Маркетинг</x:t>
        </x:is>
      </x:c>
      <x:c r="F296" s="3" t="inlineStr">
        <x:is>
          <x:t xml:space="preserve">Маркетинг: реклама (контекст)</x:t>
        </x:is>
      </x:c>
      <x:c r="G296" s="2" t="inlineStr">
        <x:is>
          <x:t xml:space="preserve">Marketing</x:t>
        </x:is>
      </x:c>
      <x:c r="H296" s="4" t="n">
        <x:v>11000</x:v>
      </x:c>
      <x:c r="I296" s="4" t="n"/>
      <x:c r="J296" s="4">
        <x:f>IF($I296="","",$I296-$H296)</x:f>
      </x:c>
      <x:c r="K296" s="5">
        <x:f>IF($I296="","",($I296-$H296)/$H296)</x:f>
      </x:c>
      <x:c r="L296" s="2">
        <x:f>IF($I296="","Planned",IF($I296&gt;$H296,"Over",IF($I296&lt;$H296,"Under","On plan")))</x:f>
      </x:c>
      <x:c r="M296" s="2">
        <x:f>IF($I296="","",IF(AND($J296&gt;50000,$K296&gt;0.2),"CRITICAL",""))</x:f>
      </x:c>
      <x:c r="N296" s="2" t="inlineStr">
        <x:is>
          <x:t xml:space="preserve">No</x:t>
        </x:is>
      </x:c>
      <x:c r="O296" s="3" t="inlineStr">
        <x:is>
          <x:t xml:space="preserve">факт не заполнен: расходы запланированы, но оплат ещё не было</x:t>
        </x:is>
      </x:c>
    </x:row>
    <x:row r="297">
      <x:c r="A297" s="2" t="n">
        <x:v>296</x:v>
      </x:c>
      <x:c r="B297" s="2" t="inlineStr">
        <x:is>
          <x:t xml:space="preserve">PRJ-301</x:t>
        </x:is>
      </x:c>
      <x:c r="C297" s="2" t="inlineStr">
        <x:is>
          <x:t xml:space="preserve">2025-12</x:t>
        </x:is>
      </x:c>
      <x:c r="D297" s="2" t="inlineStr">
        <x:is>
          <x:t xml:space="preserve">Planned</x:t>
        </x:is>
      </x:c>
      <x:c r="E297" s="3" t="inlineStr">
        <x:is>
          <x:t xml:space="preserve">Маркетинг</x:t>
        </x:is>
      </x:c>
      <x:c r="F297" s="3" t="inlineStr">
        <x:is>
          <x:t xml:space="preserve">Маркетинг: контент/копирайт</x:t>
        </x:is>
      </x:c>
      <x:c r="G297" s="2" t="inlineStr">
        <x:is>
          <x:t xml:space="preserve">Marketing</x:t>
        </x:is>
      </x:c>
      <x:c r="H297" s="4" t="n">
        <x:v>17900</x:v>
      </x:c>
      <x:c r="I297" s="4" t="n"/>
      <x:c r="J297" s="4">
        <x:f>IF($I297="","",$I297-$H297)</x:f>
      </x:c>
      <x:c r="K297" s="5">
        <x:f>IF($I297="","",($I297-$H297)/$H297)</x:f>
      </x:c>
      <x:c r="L297" s="2">
        <x:f>IF($I297="","Planned",IF($I297&gt;$H297,"Over",IF($I297&lt;$H297,"Under","On plan")))</x:f>
      </x:c>
      <x:c r="M297" s="2">
        <x:f>IF($I297="","",IF(AND($J297&gt;50000,$K297&gt;0.2),"CRITICAL",""))</x:f>
      </x:c>
      <x:c r="N297" s="2" t="inlineStr">
        <x:is>
          <x:t xml:space="preserve">No</x:t>
        </x:is>
      </x:c>
      <x:c r="O297" s="3" t="inlineStr">
        <x:is>
          <x:t xml:space="preserve">факт не заполнен: месяц в плане, ожидаем документы от поставщика</x:t>
        </x:is>
      </x:c>
    </x:row>
    <x:row r="298">
      <x:c r="A298" s="2" t="n">
        <x:v>297</x:v>
      </x:c>
      <x:c r="B298" s="2" t="inlineStr">
        <x:is>
          <x:t xml:space="preserve">PRJ-301</x:t>
        </x:is>
      </x:c>
      <x:c r="C298" s="2" t="inlineStr">
        <x:is>
          <x:t xml:space="preserve">2025-12</x:t>
        </x:is>
      </x:c>
      <x:c r="D298" s="2" t="inlineStr">
        <x:is>
          <x:t xml:space="preserve">Planned</x:t>
        </x:is>
      </x:c>
      <x:c r="E298" s="3" t="inlineStr">
        <x:is>
          <x:t xml:space="preserve">Железо</x:t>
        </x:is>
      </x:c>
      <x:c r="F298" s="3" t="inlineStr">
        <x:is>
          <x:t xml:space="preserve">Тестовые устройства (QA)</x:t>
        </x:is>
      </x:c>
      <x:c r="G298" s="2" t="inlineStr">
        <x:is>
          <x:t xml:space="preserve">QA</x:t>
        </x:is>
      </x:c>
      <x:c r="H298" s="4" t="n">
        <x:v>56400</x:v>
      </x:c>
      <x:c r="I298" s="4" t="n"/>
      <x:c r="J298" s="4">
        <x:f>IF($I298="","",$I298-$H298)</x:f>
      </x:c>
      <x:c r="K298" s="5">
        <x:f>IF($I298="","",($I298-$H298)/$H298)</x:f>
      </x:c>
      <x:c r="L298" s="2">
        <x:f>IF($I298="","Planned",IF($I298&gt;$H298,"Over",IF($I298&lt;$H298,"Under","On plan")))</x:f>
      </x:c>
      <x:c r="M298" s="2">
        <x:f>IF($I298="","",IF(AND($J298&gt;50000,$K298&gt;0.2),"CRITICAL",""))</x:f>
      </x:c>
      <x:c r="N298" s="2" t="inlineStr">
        <x:is>
          <x:t xml:space="preserve">No</x:t>
        </x:is>
      </x:c>
      <x:c r="O298" s="3" t="inlineStr">
        <x:is>
          <x:t xml:space="preserve">факт не заполнен: ожидается счёт/акт, поэтому пока только план</x:t>
        </x:is>
      </x:c>
    </x:row>
    <x:row r="299">
      <x:c r="A299" s="2" t="n">
        <x:v>298</x:v>
      </x:c>
      <x:c r="B299" s="2" t="inlineStr">
        <x:is>
          <x:t xml:space="preserve">PRJ-301</x:t>
        </x:is>
      </x:c>
      <x:c r="C299" s="2" t="inlineStr">
        <x:is>
          <x:t xml:space="preserve">2025-12</x:t>
        </x:is>
      </x:c>
      <x:c r="D299" s="2" t="inlineStr">
        <x:is>
          <x:t xml:space="preserve">Planned</x:t>
        </x:is>
      </x:c>
      <x:c r="E299" s="3" t="inlineStr">
        <x:is>
          <x:t xml:space="preserve">Железо</x:t>
        </x:is>
      </x:c>
      <x:c r="F299" s="3" t="inlineStr">
        <x:is>
          <x:t xml:space="preserve">Сервер/мини-ПК для стенда</x:t>
        </x:is>
      </x:c>
      <x:c r="G299" s="2" t="inlineStr">
        <x:is>
          <x:t xml:space="preserve">DevOps</x:t>
        </x:is>
      </x:c>
      <x:c r="H299" s="4" t="n">
        <x:v>71000</x:v>
      </x:c>
      <x:c r="I299" s="4" t="n"/>
      <x:c r="J299" s="4">
        <x:f>IF($I299="","",$I299-$H299)</x:f>
      </x:c>
      <x:c r="K299" s="5">
        <x:f>IF($I299="","",($I299-$H299)/$H299)</x:f>
      </x:c>
      <x:c r="L299" s="2">
        <x:f>IF($I299="","Planned",IF($I299&gt;$H299,"Over",IF($I299&lt;$H299,"Under","On plan")))</x:f>
      </x:c>
      <x:c r="M299" s="2">
        <x:f>IF($I299="","",IF(AND($J299&gt;50000,$K299&gt;0.2),"CRITICAL",""))</x:f>
      </x:c>
      <x:c r="N299" s="2" t="inlineStr">
        <x:is>
          <x:t xml:space="preserve">No</x:t>
        </x:is>
      </x:c>
      <x:c r="O299" s="3" t="inlineStr">
        <x:is>
          <x:t xml:space="preserve">факт не заполнен: ожидается счёт/акт, поэтому пока только план</x:t>
        </x:is>
      </x:c>
    </x:row>
    <x:row r="300">
      <x:c r="A300" s="2" t="n">
        <x:v>299</x:v>
      </x:c>
      <x:c r="B300" s="2" t="inlineStr">
        <x:is>
          <x:t xml:space="preserve">PRJ-301</x:t>
        </x:is>
      </x:c>
      <x:c r="C300" s="2" t="inlineStr">
        <x:is>
          <x:t xml:space="preserve">2025-12</x:t>
        </x:is>
      </x:c>
      <x:c r="D300" s="2" t="inlineStr">
        <x:is>
          <x:t xml:space="preserve">Planned</x:t>
        </x:is>
      </x:c>
      <x:c r="E300" s="3" t="inlineStr">
        <x:is>
          <x:t xml:space="preserve">Железо</x:t>
        </x:is>
      </x:c>
      <x:c r="F300" s="3" t="inlineStr">
        <x:is>
          <x:t xml:space="preserve">Периферия (кабели/адаптеры)</x:t>
        </x:is>
      </x:c>
      <x:c r="G300" s="2" t="inlineStr">
        <x:is>
          <x:t xml:space="preserve">DevOps</x:t>
        </x:is>
      </x:c>
      <x:c r="H300" s="4" t="n">
        <x:v>9900</x:v>
      </x:c>
      <x:c r="I300" s="4" t="n"/>
      <x:c r="J300" s="4">
        <x:f>IF($I300="","",$I300-$H300)</x:f>
      </x:c>
      <x:c r="K300" s="5">
        <x:f>IF($I300="","",($I300-$H300)/$H300)</x:f>
      </x:c>
      <x:c r="L300" s="2">
        <x:f>IF($I300="","Planned",IF($I300&gt;$H300,"Over",IF($I300&lt;$H300,"Under","On plan")))</x:f>
      </x:c>
      <x:c r="M300" s="2">
        <x:f>IF($I300="","",IF(AND($J300&gt;50000,$K300&gt;0.2),"CRITICAL",""))</x:f>
      </x:c>
      <x:c r="N300" s="2" t="inlineStr">
        <x:is>
          <x:t xml:space="preserve">No</x:t>
        </x:is>
      </x:c>
      <x:c r="O300" s="3" t="inlineStr">
        <x:is>
          <x:t xml:space="preserve">факт не заполнен: счёт ещё не получен, данные появятся после закрытия месяца</x:t>
        </x:is>
      </x:c>
    </x:row>
    <x:row r="301">
      <x:c r="A301" s="2" t="n">
        <x:v>300</x:v>
      </x:c>
      <x:c r="B301" s="2" t="inlineStr">
        <x:is>
          <x:t xml:space="preserve">PRJ-301</x:t>
        </x:is>
      </x:c>
      <x:c r="C301" s="2" t="inlineStr">
        <x:is>
          <x:t xml:space="preserve">2025-12</x:t>
        </x:is>
      </x:c>
      <x:c r="D301" s="2" t="inlineStr">
        <x:is>
          <x:t xml:space="preserve">Planned</x:t>
        </x:is>
      </x:c>
      <x:c r="E301" s="3" t="inlineStr">
        <x:is>
          <x:t xml:space="preserve">Данные</x:t>
        </x:is>
      </x:c>
      <x:c r="F301" s="3" t="inlineStr">
        <x:is>
          <x:t xml:space="preserve">Покупка датасета/доступ</x:t>
        </x:is>
      </x:c>
      <x:c r="G301" s="2" t="inlineStr">
        <x:is>
          <x:t xml:space="preserve">Analyst</x:t>
        </x:is>
      </x:c>
      <x:c r="H301" s="4" t="n">
        <x:v>54700</x:v>
      </x:c>
      <x:c r="I301" s="4" t="n"/>
      <x:c r="J301" s="4">
        <x:f>IF($I301="","",$I301-$H301)</x:f>
      </x:c>
      <x:c r="K301" s="5">
        <x:f>IF($I301="","",($I301-$H301)/$H301)</x:f>
      </x:c>
      <x:c r="L301" s="2">
        <x:f>IF($I301="","Planned",IF($I301&gt;$H301,"Over",IF($I301&lt;$H301,"Under","On plan")))</x:f>
      </x:c>
      <x:c r="M301" s="2">
        <x:f>IF($I301="","",IF(AND($J301&gt;50000,$K301&gt;0.2),"CRITICAL",""))</x:f>
      </x:c>
      <x:c r="N301" s="2" t="inlineStr">
        <x:is>
          <x:t xml:space="preserve">No</x:t>
        </x:is>
      </x:c>
      <x:c r="O301" s="3" t="inlineStr">
        <x:is>
          <x:t xml:space="preserve">факт не заполнен: счёт ещё не получен, данные появятся после закрытия месяца</x:t>
        </x:is>
      </x:c>
    </x:row>
  </x:sheetData>
  <x:conditionalFormatting sqref="M2:M301">
    <x:cfRule type="expression" dxfId="0" priority="1">
      <x:formula>M2="CRITICAL"</x:formula>
    </x:cfRule>
  </x:conditionalFormatting>
  <x:conditionalFormatting sqref="K2:K301">
    <x:cfRule type="expression" dxfId="1" priority="2">
      <x:formula>K2&gt;0.2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0f38a86e556c48ff"/>
  </x:tableParts>
</x:worksheet>
</file>