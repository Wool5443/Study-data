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Успеваемость\25-26\"/>
    </mc:Choice>
  </mc:AlternateContent>
  <bookViews>
    <workbookView xWindow="0" yWindow="0" windowWidth="28800" windowHeight="11400"/>
  </bookViews>
  <sheets>
    <sheet name="Даты занятий" sheetId="1" r:id="rId1"/>
    <sheet name="списки групп" sheetId="2" r:id="rId2"/>
    <sheet name="251-БИВ" sheetId="3" r:id="rId3"/>
    <sheet name="252-БИВ" sheetId="4" r:id="rId4"/>
    <sheet name="253-БИВ" sheetId="5" r:id="rId5"/>
    <sheet name="254-БИВ" sheetId="6" r:id="rId6"/>
    <sheet name="255-БИВ" sheetId="7" r:id="rId7"/>
    <sheet name="256-БИВ" sheetId="8" r:id="rId8"/>
    <sheet name="257-БИВ" sheetId="9" r:id="rId9"/>
    <sheet name="Лист1" sheetId="10" state="hidden" r:id="rId10"/>
  </sheets>
  <calcPr calcId="162913"/>
</workbook>
</file>

<file path=xl/calcChain.xml><?xml version="1.0" encoding="utf-8"?>
<calcChain xmlns="http://schemas.openxmlformats.org/spreadsheetml/2006/main">
  <c r="D29" i="10" l="1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2" i="10"/>
  <c r="F2" i="10"/>
  <c r="E2" i="10"/>
  <c r="D2" i="10"/>
  <c r="C2" i="10"/>
  <c r="B2" i="10"/>
  <c r="A2" i="10"/>
  <c r="G33" i="10" s="1"/>
  <c r="J38" i="9"/>
  <c r="E38" i="9"/>
  <c r="J37" i="9"/>
  <c r="E37" i="9"/>
  <c r="AF36" i="9"/>
  <c r="AE36" i="9"/>
  <c r="J36" i="9"/>
  <c r="E36" i="9"/>
  <c r="AB35" i="9"/>
  <c r="X35" i="9"/>
  <c r="T35" i="9"/>
  <c r="P35" i="9"/>
  <c r="O35" i="9"/>
  <c r="M35" i="9"/>
  <c r="L35" i="9"/>
  <c r="H35" i="9"/>
  <c r="AF34" i="9"/>
  <c r="AD34" i="9"/>
  <c r="W35" i="9" s="1"/>
  <c r="T34" i="9"/>
  <c r="S34" i="9"/>
  <c r="R35" i="9" s="1"/>
  <c r="O34" i="9"/>
  <c r="N34" i="9"/>
  <c r="J35" i="9" s="1"/>
  <c r="AD33" i="9"/>
  <c r="S33" i="9"/>
  <c r="AD32" i="9"/>
  <c r="S32" i="9"/>
  <c r="C32" i="9"/>
  <c r="AD31" i="9"/>
  <c r="S31" i="9"/>
  <c r="AD30" i="9"/>
  <c r="S30" i="9"/>
  <c r="C30" i="9"/>
  <c r="AD29" i="9"/>
  <c r="S29" i="9"/>
  <c r="AD28" i="9"/>
  <c r="S28" i="9"/>
  <c r="AD27" i="9"/>
  <c r="S27" i="9"/>
  <c r="AD26" i="9"/>
  <c r="S26" i="9"/>
  <c r="AD25" i="9"/>
  <c r="S25" i="9"/>
  <c r="AD24" i="9"/>
  <c r="S24" i="9"/>
  <c r="B24" i="9"/>
  <c r="A24" i="9"/>
  <c r="AD23" i="9"/>
  <c r="S23" i="9"/>
  <c r="A23" i="9"/>
  <c r="AD22" i="9"/>
  <c r="S22" i="9"/>
  <c r="A22" i="9"/>
  <c r="AD21" i="9"/>
  <c r="S21" i="9"/>
  <c r="AD20" i="9"/>
  <c r="S20" i="9"/>
  <c r="AD19" i="9"/>
  <c r="S19" i="9"/>
  <c r="AD18" i="9"/>
  <c r="S18" i="9"/>
  <c r="A18" i="9"/>
  <c r="AD17" i="9"/>
  <c r="S17" i="9"/>
  <c r="A17" i="9"/>
  <c r="AD16" i="9"/>
  <c r="S16" i="9"/>
  <c r="C16" i="9"/>
  <c r="B16" i="9"/>
  <c r="AD15" i="9"/>
  <c r="S15" i="9"/>
  <c r="E15" i="9"/>
  <c r="B15" i="9"/>
  <c r="AD14" i="9"/>
  <c r="S14" i="9"/>
  <c r="E14" i="9"/>
  <c r="D14" i="9"/>
  <c r="AD13" i="9"/>
  <c r="S13" i="9"/>
  <c r="AD12" i="9"/>
  <c r="S12" i="9"/>
  <c r="AD11" i="9"/>
  <c r="S11" i="9"/>
  <c r="AD10" i="9"/>
  <c r="S10" i="9"/>
  <c r="A10" i="9"/>
  <c r="AD9" i="9"/>
  <c r="S9" i="9"/>
  <c r="A9" i="9"/>
  <c r="AD8" i="9"/>
  <c r="S8" i="9"/>
  <c r="C8" i="9"/>
  <c r="B8" i="9"/>
  <c r="AD7" i="9"/>
  <c r="S7" i="9"/>
  <c r="E7" i="9"/>
  <c r="B7" i="9"/>
  <c r="AD6" i="9"/>
  <c r="S6" i="9"/>
  <c r="E6" i="9"/>
  <c r="D6" i="9"/>
  <c r="AD5" i="9"/>
  <c r="S5" i="9"/>
  <c r="Z4" i="9"/>
  <c r="Z38" i="9" s="1"/>
  <c r="W4" i="9"/>
  <c r="W38" i="9" s="1"/>
  <c r="M4" i="9"/>
  <c r="H2" i="9" s="1"/>
  <c r="H3" i="9"/>
  <c r="F3" i="9"/>
  <c r="F2" i="9"/>
  <c r="H1" i="9"/>
  <c r="E22" i="9" s="1"/>
  <c r="A1" i="9"/>
  <c r="J38" i="8"/>
  <c r="E38" i="8"/>
  <c r="J37" i="8"/>
  <c r="E37" i="8"/>
  <c r="AF36" i="8"/>
  <c r="AE36" i="8"/>
  <c r="J36" i="8"/>
  <c r="E36" i="8"/>
  <c r="AC35" i="8"/>
  <c r="R35" i="8"/>
  <c r="Q35" i="8"/>
  <c r="P35" i="8"/>
  <c r="L35" i="8"/>
  <c r="AF34" i="8"/>
  <c r="AD34" i="8"/>
  <c r="AB35" i="8" s="1"/>
  <c r="T34" i="8"/>
  <c r="S34" i="8"/>
  <c r="O35" i="8" s="1"/>
  <c r="O34" i="8"/>
  <c r="N34" i="8"/>
  <c r="M35" i="8" s="1"/>
  <c r="AD33" i="8"/>
  <c r="S33" i="8"/>
  <c r="AD32" i="8"/>
  <c r="S32" i="8"/>
  <c r="AD31" i="8"/>
  <c r="S31" i="8"/>
  <c r="B31" i="8"/>
  <c r="A31" i="8"/>
  <c r="AD30" i="8"/>
  <c r="S30" i="8"/>
  <c r="E30" i="8"/>
  <c r="AD29" i="8"/>
  <c r="S29" i="8"/>
  <c r="E29" i="8"/>
  <c r="D29" i="8"/>
  <c r="AD28" i="8"/>
  <c r="S28" i="8"/>
  <c r="AD27" i="8"/>
  <c r="S27" i="8"/>
  <c r="AD26" i="8"/>
  <c r="S26" i="8"/>
  <c r="A26" i="8"/>
  <c r="AD25" i="8"/>
  <c r="S25" i="8"/>
  <c r="B25" i="8"/>
  <c r="AD24" i="8"/>
  <c r="S24" i="8"/>
  <c r="E24" i="8"/>
  <c r="AD23" i="8"/>
  <c r="S23" i="8"/>
  <c r="E23" i="8"/>
  <c r="AD22" i="8"/>
  <c r="S22" i="8"/>
  <c r="AD21" i="8"/>
  <c r="S21" i="8"/>
  <c r="A21" i="8"/>
  <c r="AD20" i="8"/>
  <c r="S20" i="8"/>
  <c r="A20" i="8"/>
  <c r="AD19" i="8"/>
  <c r="S19" i="8"/>
  <c r="C19" i="8"/>
  <c r="A19" i="8"/>
  <c r="AD18" i="8"/>
  <c r="S18" i="8"/>
  <c r="D18" i="8"/>
  <c r="AD17" i="8"/>
  <c r="S17" i="8"/>
  <c r="AD16" i="8"/>
  <c r="S16" i="8"/>
  <c r="AD15" i="8"/>
  <c r="S15" i="8"/>
  <c r="A15" i="8"/>
  <c r="AD14" i="8"/>
  <c r="S14" i="8"/>
  <c r="E14" i="8"/>
  <c r="A14" i="8"/>
  <c r="AD13" i="8"/>
  <c r="S13" i="8"/>
  <c r="D13" i="8"/>
  <c r="AD12" i="8"/>
  <c r="S12" i="8"/>
  <c r="A12" i="8"/>
  <c r="AD11" i="8"/>
  <c r="S11" i="8"/>
  <c r="D11" i="8"/>
  <c r="B11" i="8"/>
  <c r="AD10" i="8"/>
  <c r="S10" i="8"/>
  <c r="A10" i="8"/>
  <c r="AD9" i="8"/>
  <c r="S9" i="8"/>
  <c r="D9" i="8"/>
  <c r="AD8" i="8"/>
  <c r="S8" i="8"/>
  <c r="A8" i="8"/>
  <c r="AD7" i="8"/>
  <c r="S7" i="8"/>
  <c r="E7" i="8"/>
  <c r="D7" i="8"/>
  <c r="AD6" i="8"/>
  <c r="S6" i="8"/>
  <c r="AD5" i="8"/>
  <c r="S5" i="8"/>
  <c r="E5" i="8"/>
  <c r="D5" i="8"/>
  <c r="Z4" i="8"/>
  <c r="Z38" i="8" s="1"/>
  <c r="W4" i="8"/>
  <c r="W38" i="8" s="1"/>
  <c r="Q4" i="8"/>
  <c r="Q38" i="8" s="1"/>
  <c r="M4" i="8"/>
  <c r="H2" i="8" s="1"/>
  <c r="H3" i="8" s="1"/>
  <c r="F2" i="8"/>
  <c r="F3" i="8" s="1"/>
  <c r="H1" i="8"/>
  <c r="A1" i="8"/>
  <c r="J38" i="7"/>
  <c r="H38" i="7"/>
  <c r="E38" i="7"/>
  <c r="J37" i="7"/>
  <c r="H37" i="7"/>
  <c r="E37" i="7"/>
  <c r="AF36" i="7"/>
  <c r="AE36" i="7"/>
  <c r="J36" i="7"/>
  <c r="E36" i="7"/>
  <c r="X35" i="7"/>
  <c r="Q35" i="7"/>
  <c r="P35" i="7"/>
  <c r="O35" i="7"/>
  <c r="L35" i="7"/>
  <c r="H35" i="7"/>
  <c r="AF34" i="7"/>
  <c r="AD34" i="7"/>
  <c r="T34" i="7"/>
  <c r="S34" i="7"/>
  <c r="R35" i="7" s="1"/>
  <c r="O34" i="7"/>
  <c r="N34" i="7"/>
  <c r="M35" i="7" s="1"/>
  <c r="AD33" i="7"/>
  <c r="S33" i="7"/>
  <c r="AD32" i="7"/>
  <c r="S32" i="7"/>
  <c r="E32" i="7"/>
  <c r="C32" i="7"/>
  <c r="AD31" i="7"/>
  <c r="S31" i="7"/>
  <c r="E31" i="7"/>
  <c r="AD30" i="7"/>
  <c r="S30" i="7"/>
  <c r="D30" i="7"/>
  <c r="C30" i="7"/>
  <c r="AD29" i="7"/>
  <c r="S29" i="7"/>
  <c r="A29" i="7"/>
  <c r="AD28" i="7"/>
  <c r="S28" i="7"/>
  <c r="E28" i="7"/>
  <c r="D28" i="7"/>
  <c r="A28" i="7"/>
  <c r="AD27" i="7"/>
  <c r="S27" i="7"/>
  <c r="E27" i="7"/>
  <c r="A27" i="7"/>
  <c r="AD26" i="7"/>
  <c r="S26" i="7"/>
  <c r="E26" i="7"/>
  <c r="C26" i="7"/>
  <c r="A26" i="7"/>
  <c r="AD25" i="7"/>
  <c r="S25" i="7"/>
  <c r="E25" i="7"/>
  <c r="AD24" i="7"/>
  <c r="S24" i="7"/>
  <c r="E24" i="7"/>
  <c r="C24" i="7"/>
  <c r="AD23" i="7"/>
  <c r="S23" i="7"/>
  <c r="E23" i="7"/>
  <c r="AD22" i="7"/>
  <c r="S22" i="7"/>
  <c r="D22" i="7"/>
  <c r="C22" i="7"/>
  <c r="AD21" i="7"/>
  <c r="S21" i="7"/>
  <c r="M21" i="7"/>
  <c r="C21" i="7"/>
  <c r="L21" i="7" s="1"/>
  <c r="A21" i="7"/>
  <c r="AD20" i="7"/>
  <c r="S20" i="7"/>
  <c r="D20" i="7"/>
  <c r="C20" i="7"/>
  <c r="AD19" i="7"/>
  <c r="S19" i="7"/>
  <c r="E19" i="7"/>
  <c r="C19" i="7"/>
  <c r="AD18" i="7"/>
  <c r="S18" i="7"/>
  <c r="M18" i="7"/>
  <c r="E18" i="7"/>
  <c r="C18" i="7"/>
  <c r="L18" i="7" s="1"/>
  <c r="AD17" i="7"/>
  <c r="S17" i="7"/>
  <c r="E17" i="7"/>
  <c r="C17" i="7"/>
  <c r="A17" i="7"/>
  <c r="AD16" i="7"/>
  <c r="S16" i="7"/>
  <c r="L16" i="7"/>
  <c r="E16" i="7"/>
  <c r="C16" i="7"/>
  <c r="M16" i="7" s="1"/>
  <c r="B16" i="7"/>
  <c r="AD15" i="7"/>
  <c r="S15" i="7"/>
  <c r="D15" i="7"/>
  <c r="B15" i="7"/>
  <c r="A15" i="7"/>
  <c r="AD14" i="7"/>
  <c r="S14" i="7"/>
  <c r="L14" i="7"/>
  <c r="E14" i="7"/>
  <c r="C14" i="7"/>
  <c r="M14" i="7" s="1"/>
  <c r="B14" i="7"/>
  <c r="AD13" i="7"/>
  <c r="S13" i="7"/>
  <c r="D13" i="7"/>
  <c r="B13" i="7"/>
  <c r="A13" i="7"/>
  <c r="AD12" i="7"/>
  <c r="S12" i="7"/>
  <c r="L12" i="7"/>
  <c r="E12" i="7"/>
  <c r="C12" i="7"/>
  <c r="M12" i="7" s="1"/>
  <c r="B12" i="7"/>
  <c r="AD11" i="7"/>
  <c r="S11" i="7"/>
  <c r="D11" i="7"/>
  <c r="B11" i="7"/>
  <c r="A11" i="7"/>
  <c r="AD10" i="7"/>
  <c r="S10" i="7"/>
  <c r="L10" i="7"/>
  <c r="E10" i="7"/>
  <c r="C10" i="7"/>
  <c r="M10" i="7" s="1"/>
  <c r="B10" i="7"/>
  <c r="AD9" i="7"/>
  <c r="S9" i="7"/>
  <c r="D9" i="7"/>
  <c r="B9" i="7"/>
  <c r="A9" i="7"/>
  <c r="AD8" i="7"/>
  <c r="S8" i="7"/>
  <c r="L8" i="7"/>
  <c r="E8" i="7"/>
  <c r="C8" i="7"/>
  <c r="M8" i="7" s="1"/>
  <c r="B8" i="7"/>
  <c r="AD7" i="7"/>
  <c r="S7" i="7"/>
  <c r="D7" i="7"/>
  <c r="B7" i="7"/>
  <c r="A7" i="7"/>
  <c r="AD6" i="7"/>
  <c r="S6" i="7"/>
  <c r="L6" i="7"/>
  <c r="E6" i="7"/>
  <c r="C6" i="7"/>
  <c r="M6" i="7" s="1"/>
  <c r="B6" i="7"/>
  <c r="AD5" i="7"/>
  <c r="S5" i="7"/>
  <c r="D5" i="7"/>
  <c r="B5" i="7"/>
  <c r="A5" i="7"/>
  <c r="AB4" i="7"/>
  <c r="AB38" i="7" s="1"/>
  <c r="AA4" i="7"/>
  <c r="AA38" i="7" s="1"/>
  <c r="Y4" i="7"/>
  <c r="Y38" i="7" s="1"/>
  <c r="W4" i="7"/>
  <c r="W38" i="7" s="1"/>
  <c r="V4" i="7"/>
  <c r="V38" i="7" s="1"/>
  <c r="T4" i="7"/>
  <c r="T38" i="7" s="1"/>
  <c r="R4" i="7"/>
  <c r="R38" i="7" s="1"/>
  <c r="P4" i="7"/>
  <c r="P38" i="7" s="1"/>
  <c r="M4" i="7"/>
  <c r="H2" i="7" s="1"/>
  <c r="H3" i="7" s="1"/>
  <c r="F2" i="7"/>
  <c r="F3" i="7" s="1"/>
  <c r="H1" i="7"/>
  <c r="A1" i="7"/>
  <c r="J38" i="6"/>
  <c r="E38" i="6"/>
  <c r="J37" i="6"/>
  <c r="E37" i="6"/>
  <c r="AF36" i="6"/>
  <c r="AE36" i="6"/>
  <c r="J36" i="6"/>
  <c r="E36" i="6"/>
  <c r="AC35" i="6"/>
  <c r="AA35" i="6"/>
  <c r="Z35" i="6"/>
  <c r="X35" i="6"/>
  <c r="V35" i="6"/>
  <c r="U35" i="6"/>
  <c r="R35" i="6"/>
  <c r="Q35" i="6"/>
  <c r="P35" i="6"/>
  <c r="O35" i="6"/>
  <c r="J35" i="6"/>
  <c r="F35" i="6"/>
  <c r="AF34" i="6"/>
  <c r="AD34" i="6"/>
  <c r="W35" i="6" s="1"/>
  <c r="T34" i="6"/>
  <c r="S34" i="6"/>
  <c r="O34" i="6"/>
  <c r="N34" i="6"/>
  <c r="AD33" i="6"/>
  <c r="S33" i="6"/>
  <c r="AD32" i="6"/>
  <c r="S32" i="6"/>
  <c r="AD31" i="6"/>
  <c r="S31" i="6"/>
  <c r="AD30" i="6"/>
  <c r="S30" i="6"/>
  <c r="AD29" i="6"/>
  <c r="S29" i="6"/>
  <c r="AD28" i="6"/>
  <c r="S28" i="6"/>
  <c r="AD27" i="6"/>
  <c r="S27" i="6"/>
  <c r="AD26" i="6"/>
  <c r="S26" i="6"/>
  <c r="AD25" i="6"/>
  <c r="S25" i="6"/>
  <c r="AD24" i="6"/>
  <c r="S24" i="6"/>
  <c r="AD23" i="6"/>
  <c r="S23" i="6"/>
  <c r="AD22" i="6"/>
  <c r="S22" i="6"/>
  <c r="E22" i="6"/>
  <c r="AD21" i="6"/>
  <c r="S21" i="6"/>
  <c r="AD20" i="6"/>
  <c r="S20" i="6"/>
  <c r="AD19" i="6"/>
  <c r="S19" i="6"/>
  <c r="AD18" i="6"/>
  <c r="S18" i="6"/>
  <c r="AD17" i="6"/>
  <c r="S17" i="6"/>
  <c r="E17" i="6"/>
  <c r="AD16" i="6"/>
  <c r="S16" i="6"/>
  <c r="AD15" i="6"/>
  <c r="S15" i="6"/>
  <c r="D15" i="6"/>
  <c r="AD14" i="6"/>
  <c r="S14" i="6"/>
  <c r="AD13" i="6"/>
  <c r="S13" i="6"/>
  <c r="B13" i="6"/>
  <c r="AD12" i="6"/>
  <c r="S12" i="6"/>
  <c r="AD11" i="6"/>
  <c r="S11" i="6"/>
  <c r="AD10" i="6"/>
  <c r="S10" i="6"/>
  <c r="AD9" i="6"/>
  <c r="S9" i="6"/>
  <c r="D9" i="6"/>
  <c r="AD8" i="6"/>
  <c r="S8" i="6"/>
  <c r="AD7" i="6"/>
  <c r="S7" i="6"/>
  <c r="AD6" i="6"/>
  <c r="S6" i="6"/>
  <c r="D6" i="6"/>
  <c r="AD5" i="6"/>
  <c r="S5" i="6"/>
  <c r="A5" i="6"/>
  <c r="U4" i="6"/>
  <c r="U38" i="6" s="1"/>
  <c r="M4" i="6"/>
  <c r="F3" i="6"/>
  <c r="H2" i="6"/>
  <c r="H3" i="6" s="1"/>
  <c r="F2" i="6"/>
  <c r="H1" i="6"/>
  <c r="W4" i="6" s="1"/>
  <c r="W38" i="6" s="1"/>
  <c r="A1" i="6"/>
  <c r="J38" i="5"/>
  <c r="H38" i="5"/>
  <c r="E38" i="5"/>
  <c r="M37" i="5"/>
  <c r="J37" i="5"/>
  <c r="E37" i="5"/>
  <c r="AF36" i="5"/>
  <c r="AE36" i="5"/>
  <c r="J36" i="5"/>
  <c r="E36" i="5"/>
  <c r="AC35" i="5"/>
  <c r="AA35" i="5"/>
  <c r="R35" i="5"/>
  <c r="Q35" i="5"/>
  <c r="P35" i="5"/>
  <c r="O35" i="5"/>
  <c r="H35" i="5"/>
  <c r="F35" i="5"/>
  <c r="AF34" i="5"/>
  <c r="AD34" i="5"/>
  <c r="T34" i="5"/>
  <c r="S34" i="5"/>
  <c r="O34" i="5"/>
  <c r="N34" i="5"/>
  <c r="M35" i="5" s="1"/>
  <c r="AD33" i="5"/>
  <c r="S33" i="5"/>
  <c r="AD32" i="5"/>
  <c r="S32" i="5"/>
  <c r="AD31" i="5"/>
  <c r="S31" i="5"/>
  <c r="E31" i="5"/>
  <c r="B31" i="5"/>
  <c r="AD30" i="5"/>
  <c r="S30" i="5"/>
  <c r="A30" i="5"/>
  <c r="AD29" i="5"/>
  <c r="S29" i="5"/>
  <c r="C29" i="5"/>
  <c r="B29" i="5"/>
  <c r="AD28" i="5"/>
  <c r="S28" i="5"/>
  <c r="D28" i="5"/>
  <c r="A28" i="5"/>
  <c r="AD27" i="5"/>
  <c r="S27" i="5"/>
  <c r="D27" i="5"/>
  <c r="C27" i="5"/>
  <c r="AD26" i="5"/>
  <c r="S26" i="5"/>
  <c r="D26" i="5"/>
  <c r="AD25" i="5"/>
  <c r="S25" i="5"/>
  <c r="E25" i="5"/>
  <c r="D25" i="5"/>
  <c r="B25" i="5"/>
  <c r="AD24" i="5"/>
  <c r="S24" i="5"/>
  <c r="A24" i="5"/>
  <c r="AD23" i="5"/>
  <c r="S23" i="5"/>
  <c r="E23" i="5"/>
  <c r="C23" i="5"/>
  <c r="B23" i="5"/>
  <c r="AD22" i="5"/>
  <c r="S22" i="5"/>
  <c r="D22" i="5"/>
  <c r="A22" i="5"/>
  <c r="AD21" i="5"/>
  <c r="S21" i="5"/>
  <c r="D21" i="5"/>
  <c r="C21" i="5"/>
  <c r="B21" i="5"/>
  <c r="AD20" i="5"/>
  <c r="S20" i="5"/>
  <c r="D20" i="5"/>
  <c r="A20" i="5"/>
  <c r="AD19" i="5"/>
  <c r="S19" i="5"/>
  <c r="E19" i="5"/>
  <c r="D19" i="5"/>
  <c r="C19" i="5"/>
  <c r="AD18" i="5"/>
  <c r="S18" i="5"/>
  <c r="D18" i="5"/>
  <c r="AD17" i="5"/>
  <c r="S17" i="5"/>
  <c r="E17" i="5"/>
  <c r="D17" i="5"/>
  <c r="AD16" i="5"/>
  <c r="S16" i="5"/>
  <c r="AD15" i="5"/>
  <c r="S15" i="5"/>
  <c r="E15" i="5"/>
  <c r="B15" i="5"/>
  <c r="AD14" i="5"/>
  <c r="S14" i="5"/>
  <c r="A14" i="5"/>
  <c r="AD13" i="5"/>
  <c r="S13" i="5"/>
  <c r="C13" i="5"/>
  <c r="B13" i="5"/>
  <c r="AD12" i="5"/>
  <c r="S12" i="5"/>
  <c r="D12" i="5"/>
  <c r="A12" i="5"/>
  <c r="AD11" i="5"/>
  <c r="S11" i="5"/>
  <c r="D11" i="5"/>
  <c r="C11" i="5"/>
  <c r="AD10" i="5"/>
  <c r="S10" i="5"/>
  <c r="D10" i="5"/>
  <c r="AD9" i="5"/>
  <c r="S9" i="5"/>
  <c r="E9" i="5"/>
  <c r="D9" i="5"/>
  <c r="B9" i="5"/>
  <c r="AD8" i="5"/>
  <c r="S8" i="5"/>
  <c r="A8" i="5"/>
  <c r="AD7" i="5"/>
  <c r="S7" i="5"/>
  <c r="E7" i="5"/>
  <c r="C7" i="5"/>
  <c r="B7" i="5"/>
  <c r="AD6" i="5"/>
  <c r="S6" i="5"/>
  <c r="D6" i="5"/>
  <c r="A6" i="5"/>
  <c r="AD5" i="5"/>
  <c r="S5" i="5"/>
  <c r="D5" i="5"/>
  <c r="C5" i="5"/>
  <c r="B5" i="5"/>
  <c r="AC4" i="5"/>
  <c r="AC38" i="5" s="1"/>
  <c r="Y4" i="5"/>
  <c r="Y38" i="5" s="1"/>
  <c r="X4" i="5"/>
  <c r="X38" i="5" s="1"/>
  <c r="U4" i="5"/>
  <c r="U38" i="5" s="1"/>
  <c r="Q4" i="5"/>
  <c r="Q38" i="5" s="1"/>
  <c r="P4" i="5"/>
  <c r="P38" i="5" s="1"/>
  <c r="O4" i="5"/>
  <c r="O38" i="5" s="1"/>
  <c r="M4" i="5"/>
  <c r="H2" i="5" s="1"/>
  <c r="H3" i="5" s="1"/>
  <c r="F3" i="5"/>
  <c r="F2" i="5"/>
  <c r="H1" i="5"/>
  <c r="M38" i="5" s="1"/>
  <c r="A1" i="5"/>
  <c r="J40" i="4"/>
  <c r="E40" i="4"/>
  <c r="J39" i="4"/>
  <c r="E39" i="4"/>
  <c r="AF38" i="4"/>
  <c r="AE38" i="4"/>
  <c r="J38" i="4"/>
  <c r="E38" i="4"/>
  <c r="Y37" i="4"/>
  <c r="X37" i="4"/>
  <c r="U37" i="4"/>
  <c r="P37" i="4"/>
  <c r="L37" i="4"/>
  <c r="AF36" i="4"/>
  <c r="AD36" i="4"/>
  <c r="T37" i="4" s="1"/>
  <c r="T36" i="4"/>
  <c r="S36" i="4"/>
  <c r="O36" i="4"/>
  <c r="N36" i="4"/>
  <c r="M37" i="4" s="1"/>
  <c r="AD35" i="4"/>
  <c r="S35" i="4"/>
  <c r="AD34" i="4"/>
  <c r="S34" i="4"/>
  <c r="AD33" i="4"/>
  <c r="S33" i="4"/>
  <c r="D33" i="4"/>
  <c r="AD32" i="4"/>
  <c r="S32" i="4"/>
  <c r="C32" i="4"/>
  <c r="A32" i="4"/>
  <c r="AD31" i="4"/>
  <c r="S31" i="4"/>
  <c r="AD30" i="4"/>
  <c r="S30" i="4"/>
  <c r="AD29" i="4"/>
  <c r="S29" i="4"/>
  <c r="D29" i="4"/>
  <c r="AD28" i="4"/>
  <c r="S28" i="4"/>
  <c r="D28" i="4"/>
  <c r="AD27" i="4"/>
  <c r="S27" i="4"/>
  <c r="C27" i="4"/>
  <c r="M27" i="4" s="1"/>
  <c r="AD26" i="4"/>
  <c r="S26" i="4"/>
  <c r="AD25" i="4"/>
  <c r="S25" i="4"/>
  <c r="D25" i="4"/>
  <c r="AD24" i="4"/>
  <c r="S24" i="4"/>
  <c r="D24" i="4"/>
  <c r="AD23" i="4"/>
  <c r="S23" i="4"/>
  <c r="C23" i="4"/>
  <c r="M23" i="4" s="1"/>
  <c r="AD22" i="4"/>
  <c r="S22" i="4"/>
  <c r="AD21" i="4"/>
  <c r="S21" i="4"/>
  <c r="D21" i="4"/>
  <c r="AD20" i="4"/>
  <c r="S20" i="4"/>
  <c r="D20" i="4"/>
  <c r="AD19" i="4"/>
  <c r="S19" i="4"/>
  <c r="C19" i="4"/>
  <c r="M19" i="4" s="1"/>
  <c r="AD18" i="4"/>
  <c r="S18" i="4"/>
  <c r="AD17" i="4"/>
  <c r="S17" i="4"/>
  <c r="D17" i="4"/>
  <c r="AD16" i="4"/>
  <c r="S16" i="4"/>
  <c r="D16" i="4"/>
  <c r="AD15" i="4"/>
  <c r="S15" i="4"/>
  <c r="C15" i="4"/>
  <c r="M15" i="4" s="1"/>
  <c r="AD14" i="4"/>
  <c r="S14" i="4"/>
  <c r="AD13" i="4"/>
  <c r="S13" i="4"/>
  <c r="D13" i="4"/>
  <c r="B13" i="4"/>
  <c r="AD12" i="4"/>
  <c r="S12" i="4"/>
  <c r="AD11" i="4"/>
  <c r="S11" i="4"/>
  <c r="E11" i="4"/>
  <c r="B11" i="4"/>
  <c r="AD10" i="4"/>
  <c r="S10" i="4"/>
  <c r="AD9" i="4"/>
  <c r="S9" i="4"/>
  <c r="B9" i="4"/>
  <c r="AD8" i="4"/>
  <c r="S8" i="4"/>
  <c r="A8" i="4"/>
  <c r="AD7" i="4"/>
  <c r="S7" i="4"/>
  <c r="D7" i="4"/>
  <c r="C7" i="4"/>
  <c r="AD6" i="4"/>
  <c r="S6" i="4"/>
  <c r="L6" i="4"/>
  <c r="C6" i="4"/>
  <c r="M6" i="4" s="1"/>
  <c r="B6" i="4"/>
  <c r="AD5" i="4"/>
  <c r="S5" i="4"/>
  <c r="D5" i="4"/>
  <c r="B5" i="4"/>
  <c r="AA4" i="4"/>
  <c r="AA40" i="4" s="1"/>
  <c r="W4" i="4"/>
  <c r="W40" i="4" s="1"/>
  <c r="T4" i="4"/>
  <c r="T40" i="4" s="1"/>
  <c r="M4" i="4"/>
  <c r="F3" i="4"/>
  <c r="H2" i="4"/>
  <c r="H3" i="4" s="1"/>
  <c r="F2" i="4"/>
  <c r="H1" i="4"/>
  <c r="A1" i="4"/>
  <c r="J38" i="3"/>
  <c r="E38" i="3"/>
  <c r="J37" i="3"/>
  <c r="H37" i="3"/>
  <c r="E37" i="3"/>
  <c r="AF36" i="3"/>
  <c r="AE36" i="3"/>
  <c r="J36" i="3"/>
  <c r="E36" i="3"/>
  <c r="AB35" i="3"/>
  <c r="T35" i="3"/>
  <c r="R35" i="3"/>
  <c r="M35" i="3"/>
  <c r="L35" i="3"/>
  <c r="H35" i="3"/>
  <c r="F35" i="3"/>
  <c r="AF34" i="3"/>
  <c r="AD34" i="3"/>
  <c r="AA35" i="3" s="1"/>
  <c r="T34" i="3"/>
  <c r="S34" i="3"/>
  <c r="P35" i="3" s="1"/>
  <c r="O34" i="3"/>
  <c r="N34" i="3"/>
  <c r="J35" i="3" s="1"/>
  <c r="AD33" i="3"/>
  <c r="S33" i="3"/>
  <c r="AD32" i="3"/>
  <c r="S32" i="3"/>
  <c r="C32" i="3"/>
  <c r="M32" i="3" s="1"/>
  <c r="B32" i="3"/>
  <c r="AD31" i="3"/>
  <c r="S31" i="3"/>
  <c r="A31" i="3"/>
  <c r="AD30" i="3"/>
  <c r="S30" i="3"/>
  <c r="E30" i="3"/>
  <c r="D30" i="3"/>
  <c r="AD29" i="3"/>
  <c r="S29" i="3"/>
  <c r="AD28" i="3"/>
  <c r="S28" i="3"/>
  <c r="E28" i="3"/>
  <c r="B28" i="3"/>
  <c r="AD27" i="3"/>
  <c r="S27" i="3"/>
  <c r="E27" i="3"/>
  <c r="C27" i="3"/>
  <c r="B27" i="3"/>
  <c r="AD26" i="3"/>
  <c r="S26" i="3"/>
  <c r="E26" i="3"/>
  <c r="D26" i="3"/>
  <c r="AD25" i="3"/>
  <c r="S25" i="3"/>
  <c r="E25" i="3"/>
  <c r="A25" i="3"/>
  <c r="AD24" i="3"/>
  <c r="S24" i="3"/>
  <c r="D24" i="3"/>
  <c r="C24" i="3"/>
  <c r="L24" i="3" s="1"/>
  <c r="B24" i="3"/>
  <c r="AD23" i="3"/>
  <c r="S23" i="3"/>
  <c r="E23" i="3"/>
  <c r="C23" i="3"/>
  <c r="M23" i="3" s="1"/>
  <c r="AD22" i="3"/>
  <c r="S22" i="3"/>
  <c r="E22" i="3"/>
  <c r="D22" i="3"/>
  <c r="AD21" i="3"/>
  <c r="S21" i="3"/>
  <c r="C21" i="3"/>
  <c r="L21" i="3" s="1"/>
  <c r="B21" i="3"/>
  <c r="AD20" i="3"/>
  <c r="S20" i="3"/>
  <c r="E20" i="3"/>
  <c r="D20" i="3"/>
  <c r="A20" i="3"/>
  <c r="AD19" i="3"/>
  <c r="S19" i="3"/>
  <c r="AD18" i="3"/>
  <c r="S18" i="3"/>
  <c r="A18" i="3"/>
  <c r="AD17" i="3"/>
  <c r="S17" i="3"/>
  <c r="E17" i="3"/>
  <c r="A17" i="3"/>
  <c r="AD16" i="3"/>
  <c r="S16" i="3"/>
  <c r="L16" i="3"/>
  <c r="C16" i="3"/>
  <c r="M16" i="3" s="1"/>
  <c r="AD15" i="3"/>
  <c r="S15" i="3"/>
  <c r="A15" i="3"/>
  <c r="AD14" i="3"/>
  <c r="S14" i="3"/>
  <c r="E14" i="3"/>
  <c r="B14" i="3"/>
  <c r="A14" i="3"/>
  <c r="AD13" i="3"/>
  <c r="S13" i="3"/>
  <c r="E13" i="3"/>
  <c r="C13" i="3"/>
  <c r="M13" i="3" s="1"/>
  <c r="AD12" i="3"/>
  <c r="S12" i="3"/>
  <c r="E12" i="3"/>
  <c r="B12" i="3"/>
  <c r="AD11" i="3"/>
  <c r="S11" i="3"/>
  <c r="C11" i="3"/>
  <c r="B11" i="3"/>
  <c r="AD10" i="3"/>
  <c r="S10" i="3"/>
  <c r="L10" i="3"/>
  <c r="E10" i="3"/>
  <c r="C10" i="3"/>
  <c r="M10" i="3" s="1"/>
  <c r="B10" i="3"/>
  <c r="AD9" i="3"/>
  <c r="S9" i="3"/>
  <c r="E9" i="3"/>
  <c r="B9" i="3"/>
  <c r="A9" i="3"/>
  <c r="AD8" i="3"/>
  <c r="S8" i="3"/>
  <c r="E8" i="3"/>
  <c r="D8" i="3"/>
  <c r="C8" i="3"/>
  <c r="L8" i="3" s="1"/>
  <c r="AD7" i="3"/>
  <c r="S7" i="3"/>
  <c r="B7" i="3"/>
  <c r="A7" i="3"/>
  <c r="AD6" i="3"/>
  <c r="S6" i="3"/>
  <c r="D6" i="3"/>
  <c r="B6" i="3"/>
  <c r="AD5" i="3"/>
  <c r="S5" i="3"/>
  <c r="E5" i="3"/>
  <c r="C5" i="3"/>
  <c r="L5" i="3" s="1"/>
  <c r="A5" i="3"/>
  <c r="AC4" i="3"/>
  <c r="AC38" i="3" s="1"/>
  <c r="AB4" i="3"/>
  <c r="AB38" i="3" s="1"/>
  <c r="Y4" i="3"/>
  <c r="Y38" i="3" s="1"/>
  <c r="X4" i="3"/>
  <c r="X38" i="3" s="1"/>
  <c r="V4" i="3"/>
  <c r="V38" i="3" s="1"/>
  <c r="U4" i="3"/>
  <c r="U38" i="3" s="1"/>
  <c r="T4" i="3"/>
  <c r="T38" i="3" s="1"/>
  <c r="P4" i="3"/>
  <c r="P38" i="3" s="1"/>
  <c r="O4" i="3"/>
  <c r="O38" i="3" s="1"/>
  <c r="M4" i="3"/>
  <c r="F3" i="3"/>
  <c r="H2" i="3"/>
  <c r="H3" i="3" s="1"/>
  <c r="F2" i="3"/>
  <c r="H1" i="3"/>
  <c r="A1" i="3"/>
  <c r="H18" i="1"/>
  <c r="H17" i="1"/>
  <c r="AI9" i="1"/>
  <c r="AG9" i="1"/>
  <c r="AF9" i="1"/>
  <c r="AE9" i="1"/>
  <c r="AB9" i="1"/>
  <c r="Z9" i="1"/>
  <c r="Y9" i="1"/>
  <c r="X9" i="1"/>
  <c r="AI8" i="1"/>
  <c r="AG8" i="1"/>
  <c r="AF8" i="1"/>
  <c r="AE8" i="1"/>
  <c r="AB8" i="1"/>
  <c r="Z8" i="1"/>
  <c r="Y8" i="1"/>
  <c r="X8" i="1"/>
  <c r="AI7" i="1"/>
  <c r="AG7" i="1"/>
  <c r="AF7" i="1"/>
  <c r="AE7" i="1"/>
  <c r="AB7" i="1"/>
  <c r="Z7" i="1"/>
  <c r="Y7" i="1"/>
  <c r="X7" i="1"/>
  <c r="AI6" i="1"/>
  <c r="AG6" i="1"/>
  <c r="AF6" i="1"/>
  <c r="AE6" i="1"/>
  <c r="AB6" i="1"/>
  <c r="Z6" i="1"/>
  <c r="Y6" i="1"/>
  <c r="X6" i="1"/>
  <c r="AI5" i="1"/>
  <c r="L38" i="7" s="1"/>
  <c r="AG5" i="1"/>
  <c r="AF5" i="1"/>
  <c r="AE5" i="1"/>
  <c r="L36" i="7" s="1"/>
  <c r="AB5" i="1"/>
  <c r="Z5" i="1"/>
  <c r="Y5" i="1"/>
  <c r="X5" i="1"/>
  <c r="AI4" i="1"/>
  <c r="AG4" i="1"/>
  <c r="AF4" i="1"/>
  <c r="AE4" i="1"/>
  <c r="AB4" i="1"/>
  <c r="Z4" i="1"/>
  <c r="Y4" i="1"/>
  <c r="X4" i="1"/>
  <c r="AI3" i="1"/>
  <c r="AG3" i="1"/>
  <c r="AF3" i="1"/>
  <c r="M36" i="5" s="1"/>
  <c r="AE3" i="1"/>
  <c r="AB3" i="1"/>
  <c r="G38" i="5" s="1"/>
  <c r="Z3" i="1"/>
  <c r="Y3" i="1"/>
  <c r="X3" i="1"/>
  <c r="AI2" i="1"/>
  <c r="AG2" i="1"/>
  <c r="AF2" i="1"/>
  <c r="AE2" i="1"/>
  <c r="AB2" i="1"/>
  <c r="Z2" i="1"/>
  <c r="Y2" i="1"/>
  <c r="X2" i="1"/>
  <c r="G38" i="4" s="1"/>
  <c r="F35" i="4" s="1"/>
  <c r="L35" i="4" s="1"/>
  <c r="AI1" i="1"/>
  <c r="L38" i="3" s="1"/>
  <c r="AG1" i="1"/>
  <c r="AF1" i="1"/>
  <c r="AE1" i="1"/>
  <c r="L36" i="3" s="1"/>
  <c r="AB1" i="1"/>
  <c r="Z1" i="1"/>
  <c r="G37" i="3" s="1"/>
  <c r="Y1" i="1"/>
  <c r="X1" i="1"/>
  <c r="G36" i="3" s="1"/>
  <c r="F33" i="3" s="1"/>
  <c r="L33" i="3" s="1"/>
  <c r="G38" i="3" l="1"/>
  <c r="D31" i="3"/>
  <c r="D29" i="3"/>
  <c r="D27" i="3"/>
  <c r="D25" i="3"/>
  <c r="D23" i="3"/>
  <c r="D21" i="3"/>
  <c r="D19" i="3"/>
  <c r="D17" i="3"/>
  <c r="D15" i="3"/>
  <c r="D13" i="3"/>
  <c r="D11" i="3"/>
  <c r="D9" i="3"/>
  <c r="D7" i="3"/>
  <c r="D5" i="3"/>
  <c r="M37" i="3"/>
  <c r="M36" i="3"/>
  <c r="A32" i="3"/>
  <c r="C31" i="3"/>
  <c r="H38" i="3"/>
  <c r="A30" i="3"/>
  <c r="C29" i="3"/>
  <c r="C26" i="3"/>
  <c r="L37" i="3"/>
  <c r="E32" i="3"/>
  <c r="A29" i="3"/>
  <c r="D28" i="3"/>
  <c r="A26" i="3"/>
  <c r="C25" i="3"/>
  <c r="C22" i="3"/>
  <c r="B19" i="3"/>
  <c r="E18" i="3"/>
  <c r="B16" i="3"/>
  <c r="E15" i="3"/>
  <c r="A13" i="3"/>
  <c r="D12" i="3"/>
  <c r="A10" i="3"/>
  <c r="C9" i="3"/>
  <c r="C6" i="3"/>
  <c r="H36" i="3"/>
  <c r="D32" i="3"/>
  <c r="C28" i="3"/>
  <c r="B25" i="3"/>
  <c r="E24" i="3"/>
  <c r="B22" i="3"/>
  <c r="E21" i="3"/>
  <c r="A19" i="3"/>
  <c r="D18" i="3"/>
  <c r="A16" i="3"/>
  <c r="C15" i="3"/>
  <c r="C12" i="3"/>
  <c r="Q4" i="3"/>
  <c r="Q38" i="3" s="1"/>
  <c r="Z4" i="3"/>
  <c r="Z38" i="3" s="1"/>
  <c r="M5" i="3"/>
  <c r="E6" i="3"/>
  <c r="C7" i="3"/>
  <c r="A8" i="3"/>
  <c r="E11" i="3"/>
  <c r="L13" i="3"/>
  <c r="C14" i="3"/>
  <c r="B15" i="3"/>
  <c r="D16" i="3"/>
  <c r="B17" i="3"/>
  <c r="B18" i="3"/>
  <c r="C19" i="3"/>
  <c r="B20" i="3"/>
  <c r="A23" i="3"/>
  <c r="B29" i="3"/>
  <c r="B30" i="3"/>
  <c r="B31" i="3"/>
  <c r="L32" i="3"/>
  <c r="X35" i="3"/>
  <c r="M38" i="3"/>
  <c r="M39" i="4"/>
  <c r="M38" i="4"/>
  <c r="B33" i="4"/>
  <c r="B31" i="4"/>
  <c r="B29" i="4"/>
  <c r="B27" i="4"/>
  <c r="B25" i="4"/>
  <c r="B23" i="4"/>
  <c r="B21" i="4"/>
  <c r="B19" i="4"/>
  <c r="B17" i="4"/>
  <c r="B15" i="4"/>
  <c r="L39" i="4"/>
  <c r="L38" i="4"/>
  <c r="E34" i="4"/>
  <c r="A33" i="4"/>
  <c r="E32" i="4"/>
  <c r="A31" i="4"/>
  <c r="E30" i="4"/>
  <c r="A29" i="4"/>
  <c r="E28" i="4"/>
  <c r="A27" i="4"/>
  <c r="E26" i="4"/>
  <c r="A25" i="4"/>
  <c r="E24" i="4"/>
  <c r="A23" i="4"/>
  <c r="E22" i="4"/>
  <c r="A21" i="4"/>
  <c r="E20" i="4"/>
  <c r="A19" i="4"/>
  <c r="E18" i="4"/>
  <c r="A17" i="4"/>
  <c r="E16" i="4"/>
  <c r="A15" i="4"/>
  <c r="E14" i="4"/>
  <c r="A13" i="4"/>
  <c r="E12" i="4"/>
  <c r="A11" i="4"/>
  <c r="E10" i="4"/>
  <c r="A9" i="4"/>
  <c r="E8" i="4"/>
  <c r="A7" i="4"/>
  <c r="E6" i="4"/>
  <c r="A5" i="4"/>
  <c r="V4" i="4"/>
  <c r="V40" i="4" s="1"/>
  <c r="G40" i="4"/>
  <c r="A34" i="4"/>
  <c r="E33" i="4"/>
  <c r="A30" i="4"/>
  <c r="E29" i="4"/>
  <c r="A26" i="4"/>
  <c r="E25" i="4"/>
  <c r="A22" i="4"/>
  <c r="E21" i="4"/>
  <c r="A18" i="4"/>
  <c r="E17" i="4"/>
  <c r="A14" i="4"/>
  <c r="E13" i="4"/>
  <c r="C11" i="4"/>
  <c r="C8" i="4"/>
  <c r="A6" i="4"/>
  <c r="E5" i="4"/>
  <c r="Y4" i="4"/>
  <c r="Y40" i="4" s="1"/>
  <c r="O4" i="4"/>
  <c r="O40" i="4" s="1"/>
  <c r="M40" i="4"/>
  <c r="G39" i="4"/>
  <c r="L40" i="4"/>
  <c r="D34" i="4"/>
  <c r="D31" i="4"/>
  <c r="D30" i="4"/>
  <c r="D27" i="4"/>
  <c r="D26" i="4"/>
  <c r="D23" i="4"/>
  <c r="D22" i="4"/>
  <c r="D19" i="4"/>
  <c r="D18" i="4"/>
  <c r="D15" i="4"/>
  <c r="D14" i="4"/>
  <c r="B12" i="4"/>
  <c r="D9" i="4"/>
  <c r="B7" i="4"/>
  <c r="H39" i="4"/>
  <c r="D32" i="4"/>
  <c r="B34" i="4"/>
  <c r="C33" i="4"/>
  <c r="B32" i="4"/>
  <c r="E31" i="4"/>
  <c r="B30" i="4"/>
  <c r="C29" i="4"/>
  <c r="B28" i="4"/>
  <c r="E27" i="4"/>
  <c r="B26" i="4"/>
  <c r="C25" i="4"/>
  <c r="B24" i="4"/>
  <c r="E23" i="4"/>
  <c r="B22" i="4"/>
  <c r="C21" i="4"/>
  <c r="B20" i="4"/>
  <c r="E19" i="4"/>
  <c r="B18" i="4"/>
  <c r="C17" i="4"/>
  <c r="B16" i="4"/>
  <c r="E15" i="4"/>
  <c r="B14" i="4"/>
  <c r="C13" i="4"/>
  <c r="C12" i="4"/>
  <c r="D11" i="4"/>
  <c r="D10" i="4"/>
  <c r="C5" i="4"/>
  <c r="U4" i="4"/>
  <c r="U40" i="4" s="1"/>
  <c r="B10" i="4"/>
  <c r="E9" i="4"/>
  <c r="D8" i="4"/>
  <c r="AC4" i="4"/>
  <c r="AC40" i="4" s="1"/>
  <c r="R4" i="4"/>
  <c r="R40" i="4" s="1"/>
  <c r="H40" i="4"/>
  <c r="H38" i="4"/>
  <c r="A10" i="4"/>
  <c r="C9" i="4"/>
  <c r="B8" i="4"/>
  <c r="E7" i="4"/>
  <c r="AB4" i="4"/>
  <c r="AB40" i="4" s="1"/>
  <c r="Q4" i="4"/>
  <c r="Q40" i="4" s="1"/>
  <c r="X4" i="4"/>
  <c r="X40" i="4" s="1"/>
  <c r="A12" i="4"/>
  <c r="A16" i="4"/>
  <c r="A20" i="4"/>
  <c r="A24" i="4"/>
  <c r="A28" i="4"/>
  <c r="M29" i="5"/>
  <c r="L29" i="5"/>
  <c r="R4" i="3"/>
  <c r="R38" i="3" s="1"/>
  <c r="AA4" i="3"/>
  <c r="AA38" i="3" s="1"/>
  <c r="E7" i="3"/>
  <c r="B8" i="3"/>
  <c r="D14" i="3"/>
  <c r="E16" i="3"/>
  <c r="C17" i="3"/>
  <c r="C18" i="3"/>
  <c r="E19" i="3"/>
  <c r="C20" i="3"/>
  <c r="A21" i="3"/>
  <c r="A22" i="3"/>
  <c r="B23" i="3"/>
  <c r="A24" i="3"/>
  <c r="B26" i="3"/>
  <c r="A27" i="3"/>
  <c r="A28" i="3"/>
  <c r="E29" i="3"/>
  <c r="C30" i="3"/>
  <c r="E31" i="3"/>
  <c r="Z4" i="4"/>
  <c r="Z40" i="4" s="1"/>
  <c r="D12" i="4"/>
  <c r="C16" i="4"/>
  <c r="C20" i="4"/>
  <c r="C24" i="4"/>
  <c r="C28" i="4"/>
  <c r="C31" i="4"/>
  <c r="C34" i="4"/>
  <c r="F37" i="4"/>
  <c r="J37" i="4"/>
  <c r="H37" i="4"/>
  <c r="M7" i="5"/>
  <c r="L7" i="5"/>
  <c r="M27" i="3"/>
  <c r="L27" i="3"/>
  <c r="M7" i="4"/>
  <c r="L7" i="4"/>
  <c r="L15" i="4"/>
  <c r="L19" i="4"/>
  <c r="L23" i="4"/>
  <c r="L27" i="4"/>
  <c r="L23" i="3"/>
  <c r="O35" i="3"/>
  <c r="M21" i="3"/>
  <c r="W4" i="3"/>
  <c r="W38" i="3" s="1"/>
  <c r="B5" i="3"/>
  <c r="A6" i="3"/>
  <c r="M8" i="3"/>
  <c r="D10" i="3"/>
  <c r="A11" i="3"/>
  <c r="A12" i="3"/>
  <c r="B13" i="3"/>
  <c r="M24" i="3"/>
  <c r="Q35" i="3"/>
  <c r="P4" i="4"/>
  <c r="P40" i="4" s="1"/>
  <c r="D6" i="4"/>
  <c r="C10" i="4"/>
  <c r="C14" i="4"/>
  <c r="C18" i="4"/>
  <c r="C22" i="4"/>
  <c r="C26" i="4"/>
  <c r="C30" i="4"/>
  <c r="AC35" i="3"/>
  <c r="U35" i="3"/>
  <c r="Z35" i="3"/>
  <c r="Y35" i="3"/>
  <c r="W35" i="3"/>
  <c r="V35" i="3"/>
  <c r="M11" i="3"/>
  <c r="L11" i="3"/>
  <c r="L32" i="4"/>
  <c r="M32" i="4"/>
  <c r="M13" i="5"/>
  <c r="L13" i="5"/>
  <c r="Z35" i="5"/>
  <c r="X35" i="5"/>
  <c r="W35" i="5"/>
  <c r="AB35" i="5"/>
  <c r="Y35" i="5"/>
  <c r="V35" i="5"/>
  <c r="T35" i="5"/>
  <c r="E5" i="6"/>
  <c r="B7" i="6"/>
  <c r="C12" i="6"/>
  <c r="M23" i="5"/>
  <c r="L23" i="5"/>
  <c r="U35" i="5"/>
  <c r="D21" i="6"/>
  <c r="AA37" i="4"/>
  <c r="Z37" i="4"/>
  <c r="W37" i="4"/>
  <c r="AC37" i="4"/>
  <c r="AB37" i="4"/>
  <c r="V37" i="4"/>
  <c r="Q4" i="6"/>
  <c r="Q38" i="6" s="1"/>
  <c r="B11" i="6"/>
  <c r="B19" i="6"/>
  <c r="M11" i="5"/>
  <c r="L11" i="5"/>
  <c r="M5" i="5"/>
  <c r="L5" i="5"/>
  <c r="G37" i="6"/>
  <c r="G36" i="6"/>
  <c r="F33" i="6" s="1"/>
  <c r="L33" i="6" s="1"/>
  <c r="B32" i="6"/>
  <c r="B30" i="6"/>
  <c r="B28" i="6"/>
  <c r="B26" i="6"/>
  <c r="B24" i="6"/>
  <c r="B22" i="6"/>
  <c r="B20" i="6"/>
  <c r="B18" i="6"/>
  <c r="B16" i="6"/>
  <c r="B14" i="6"/>
  <c r="B12" i="6"/>
  <c r="B10" i="6"/>
  <c r="B8" i="6"/>
  <c r="B6" i="6"/>
  <c r="C31" i="6"/>
  <c r="C29" i="6"/>
  <c r="C27" i="6"/>
  <c r="C25" i="6"/>
  <c r="C23" i="6"/>
  <c r="C21" i="6"/>
  <c r="C19" i="6"/>
  <c r="C17" i="6"/>
  <c r="C15" i="6"/>
  <c r="C13" i="6"/>
  <c r="M38" i="6"/>
  <c r="D32" i="6"/>
  <c r="D30" i="6"/>
  <c r="D28" i="6"/>
  <c r="D26" i="6"/>
  <c r="D24" i="6"/>
  <c r="D22" i="6"/>
  <c r="H36" i="6"/>
  <c r="L38" i="6"/>
  <c r="H37" i="6"/>
  <c r="E31" i="6"/>
  <c r="E29" i="6"/>
  <c r="E27" i="6"/>
  <c r="E25" i="6"/>
  <c r="E23" i="6"/>
  <c r="E21" i="6"/>
  <c r="A17" i="6"/>
  <c r="D16" i="6"/>
  <c r="E15" i="6"/>
  <c r="A12" i="6"/>
  <c r="C11" i="6"/>
  <c r="A9" i="6"/>
  <c r="E8" i="6"/>
  <c r="C6" i="6"/>
  <c r="AA4" i="6"/>
  <c r="AA38" i="6" s="1"/>
  <c r="R4" i="6"/>
  <c r="R38" i="6" s="1"/>
  <c r="H38" i="6"/>
  <c r="C32" i="6"/>
  <c r="B31" i="6"/>
  <c r="C30" i="6"/>
  <c r="B29" i="6"/>
  <c r="C28" i="6"/>
  <c r="B27" i="6"/>
  <c r="C26" i="6"/>
  <c r="B25" i="6"/>
  <c r="C24" i="6"/>
  <c r="B23" i="6"/>
  <c r="C22" i="6"/>
  <c r="B21" i="6"/>
  <c r="D20" i="6"/>
  <c r="E19" i="6"/>
  <c r="A16" i="6"/>
  <c r="B15" i="6"/>
  <c r="E14" i="6"/>
  <c r="A11" i="6"/>
  <c r="E10" i="6"/>
  <c r="C8" i="6"/>
  <c r="E7" i="6"/>
  <c r="D5" i="6"/>
  <c r="Y4" i="6"/>
  <c r="Y38" i="6" s="1"/>
  <c r="P4" i="6"/>
  <c r="P38" i="6" s="1"/>
  <c r="G38" i="6"/>
  <c r="A32" i="6"/>
  <c r="A31" i="6"/>
  <c r="A30" i="6"/>
  <c r="A29" i="6"/>
  <c r="A28" i="6"/>
  <c r="A27" i="6"/>
  <c r="A26" i="6"/>
  <c r="A25" i="6"/>
  <c r="A24" i="6"/>
  <c r="A23" i="6"/>
  <c r="A22" i="6"/>
  <c r="A21" i="6"/>
  <c r="C20" i="6"/>
  <c r="D19" i="6"/>
  <c r="A15" i="6"/>
  <c r="D14" i="6"/>
  <c r="E13" i="6"/>
  <c r="D10" i="6"/>
  <c r="A8" i="6"/>
  <c r="D7" i="6"/>
  <c r="C5" i="6"/>
  <c r="X4" i="6"/>
  <c r="X38" i="6" s="1"/>
  <c r="O4" i="6"/>
  <c r="O38" i="6" s="1"/>
  <c r="L36" i="6"/>
  <c r="A19" i="6"/>
  <c r="A18" i="6"/>
  <c r="C14" i="6"/>
  <c r="A13" i="6"/>
  <c r="M37" i="6"/>
  <c r="D31" i="6"/>
  <c r="D29" i="6"/>
  <c r="D27" i="6"/>
  <c r="D25" i="6"/>
  <c r="E20" i="6"/>
  <c r="A14" i="6"/>
  <c r="V4" i="6"/>
  <c r="V38" i="6" s="1"/>
  <c r="L37" i="6"/>
  <c r="E9" i="6"/>
  <c r="C7" i="6"/>
  <c r="E6" i="6"/>
  <c r="B5" i="6"/>
  <c r="T4" i="6"/>
  <c r="T38" i="6" s="1"/>
  <c r="E32" i="6"/>
  <c r="E30" i="6"/>
  <c r="E28" i="6"/>
  <c r="E26" i="6"/>
  <c r="E24" i="6"/>
  <c r="E18" i="6"/>
  <c r="D17" i="6"/>
  <c r="C16" i="6"/>
  <c r="E12" i="6"/>
  <c r="E11" i="6"/>
  <c r="C10" i="6"/>
  <c r="C9" i="6"/>
  <c r="D8" i="6"/>
  <c r="A7" i="6"/>
  <c r="A6" i="6"/>
  <c r="AC4" i="6"/>
  <c r="AC38" i="6" s="1"/>
  <c r="D18" i="6"/>
  <c r="B17" i="6"/>
  <c r="D13" i="6"/>
  <c r="D12" i="6"/>
  <c r="D11" i="6"/>
  <c r="A10" i="6"/>
  <c r="B9" i="6"/>
  <c r="AB4" i="6"/>
  <c r="AB38" i="6" s="1"/>
  <c r="Z4" i="6"/>
  <c r="Z38" i="6" s="1"/>
  <c r="A20" i="6"/>
  <c r="M19" i="5"/>
  <c r="L19" i="5"/>
  <c r="M27" i="5"/>
  <c r="L27" i="5"/>
  <c r="E16" i="6"/>
  <c r="C18" i="6"/>
  <c r="D23" i="6"/>
  <c r="M36" i="6"/>
  <c r="R37" i="4"/>
  <c r="Q37" i="4"/>
  <c r="O37" i="4"/>
  <c r="Z4" i="5"/>
  <c r="Z38" i="5" s="1"/>
  <c r="E11" i="5"/>
  <c r="D13" i="5"/>
  <c r="D14" i="5"/>
  <c r="C15" i="5"/>
  <c r="A16" i="5"/>
  <c r="B17" i="5"/>
  <c r="E27" i="5"/>
  <c r="D29" i="5"/>
  <c r="D30" i="5"/>
  <c r="C31" i="5"/>
  <c r="A32" i="5"/>
  <c r="J35" i="5"/>
  <c r="E13" i="5"/>
  <c r="D15" i="5"/>
  <c r="D16" i="5"/>
  <c r="C17" i="5"/>
  <c r="A18" i="5"/>
  <c r="B19" i="5"/>
  <c r="E29" i="5"/>
  <c r="D31" i="5"/>
  <c r="D32" i="5"/>
  <c r="L35" i="5"/>
  <c r="L20" i="7"/>
  <c r="M20" i="7"/>
  <c r="M26" i="7"/>
  <c r="L26" i="7"/>
  <c r="M21" i="5"/>
  <c r="L21" i="5"/>
  <c r="M32" i="7"/>
  <c r="L32" i="7"/>
  <c r="L37" i="5"/>
  <c r="L36" i="5"/>
  <c r="E32" i="5"/>
  <c r="A31" i="5"/>
  <c r="E30" i="5"/>
  <c r="A29" i="5"/>
  <c r="E28" i="5"/>
  <c r="A27" i="5"/>
  <c r="E26" i="5"/>
  <c r="A25" i="5"/>
  <c r="E24" i="5"/>
  <c r="A23" i="5"/>
  <c r="E22" i="5"/>
  <c r="A21" i="5"/>
  <c r="E20" i="5"/>
  <c r="A19" i="5"/>
  <c r="E18" i="5"/>
  <c r="A17" i="5"/>
  <c r="E16" i="5"/>
  <c r="A15" i="5"/>
  <c r="E14" i="5"/>
  <c r="A13" i="5"/>
  <c r="E12" i="5"/>
  <c r="A11" i="5"/>
  <c r="E10" i="5"/>
  <c r="A9" i="5"/>
  <c r="E8" i="5"/>
  <c r="A7" i="5"/>
  <c r="E6" i="5"/>
  <c r="A5" i="5"/>
  <c r="V4" i="5"/>
  <c r="V38" i="5" s="1"/>
  <c r="L38" i="5"/>
  <c r="H37" i="5"/>
  <c r="H36" i="5"/>
  <c r="C32" i="5"/>
  <c r="C30" i="5"/>
  <c r="C28" i="5"/>
  <c r="C26" i="5"/>
  <c r="C24" i="5"/>
  <c r="C22" i="5"/>
  <c r="C20" i="5"/>
  <c r="C18" i="5"/>
  <c r="C16" i="5"/>
  <c r="C14" i="5"/>
  <c r="C12" i="5"/>
  <c r="C10" i="5"/>
  <c r="C8" i="5"/>
  <c r="C6" i="5"/>
  <c r="AB4" i="5"/>
  <c r="AB38" i="5" s="1"/>
  <c r="T4" i="5"/>
  <c r="T38" i="5" s="1"/>
  <c r="G37" i="5"/>
  <c r="G36" i="5"/>
  <c r="F33" i="5" s="1"/>
  <c r="L33" i="5" s="1"/>
  <c r="B32" i="5"/>
  <c r="B30" i="5"/>
  <c r="B28" i="5"/>
  <c r="B26" i="5"/>
  <c r="B24" i="5"/>
  <c r="B22" i="5"/>
  <c r="B20" i="5"/>
  <c r="B18" i="5"/>
  <c r="B16" i="5"/>
  <c r="B14" i="5"/>
  <c r="B12" i="5"/>
  <c r="B10" i="5"/>
  <c r="B8" i="5"/>
  <c r="B6" i="5"/>
  <c r="AA4" i="5"/>
  <c r="AA38" i="5" s="1"/>
  <c r="R4" i="5"/>
  <c r="R38" i="5" s="1"/>
  <c r="W4" i="5"/>
  <c r="W38" i="5" s="1"/>
  <c r="E5" i="5"/>
  <c r="D7" i="5"/>
  <c r="D8" i="5"/>
  <c r="C9" i="5"/>
  <c r="A10" i="5"/>
  <c r="B11" i="5"/>
  <c r="E21" i="5"/>
  <c r="D23" i="5"/>
  <c r="D24" i="5"/>
  <c r="C25" i="5"/>
  <c r="A26" i="5"/>
  <c r="B27" i="5"/>
  <c r="M35" i="6"/>
  <c r="H35" i="6"/>
  <c r="L35" i="6"/>
  <c r="L19" i="7"/>
  <c r="M19" i="7"/>
  <c r="M22" i="7"/>
  <c r="L22" i="7"/>
  <c r="W35" i="7"/>
  <c r="AC35" i="7"/>
  <c r="U35" i="7"/>
  <c r="AB35" i="7"/>
  <c r="T35" i="7"/>
  <c r="AA35" i="7"/>
  <c r="V35" i="7"/>
  <c r="Y35" i="7"/>
  <c r="Z35" i="7"/>
  <c r="L17" i="7"/>
  <c r="M17" i="7"/>
  <c r="M24" i="7"/>
  <c r="L24" i="7"/>
  <c r="M30" i="7"/>
  <c r="L30" i="7"/>
  <c r="Y35" i="6"/>
  <c r="G37" i="7"/>
  <c r="G36" i="7"/>
  <c r="F33" i="7" s="1"/>
  <c r="L33" i="7" s="1"/>
  <c r="B32" i="7"/>
  <c r="B30" i="7"/>
  <c r="B28" i="7"/>
  <c r="B26" i="7"/>
  <c r="B24" i="7"/>
  <c r="B22" i="7"/>
  <c r="B20" i="7"/>
  <c r="B18" i="7"/>
  <c r="G38" i="7"/>
  <c r="D31" i="7"/>
  <c r="D29" i="7"/>
  <c r="D27" i="7"/>
  <c r="D25" i="7"/>
  <c r="D23" i="7"/>
  <c r="D21" i="7"/>
  <c r="D19" i="7"/>
  <c r="C31" i="7"/>
  <c r="C29" i="7"/>
  <c r="C27" i="7"/>
  <c r="C25" i="7"/>
  <c r="C23" i="7"/>
  <c r="M37" i="7"/>
  <c r="M36" i="7"/>
  <c r="B31" i="7"/>
  <c r="B29" i="7"/>
  <c r="B27" i="7"/>
  <c r="B25" i="7"/>
  <c r="B23" i="7"/>
  <c r="B21" i="7"/>
  <c r="B19" i="7"/>
  <c r="B17" i="7"/>
  <c r="Q4" i="7"/>
  <c r="Q38" i="7" s="1"/>
  <c r="Z4" i="7"/>
  <c r="Z38" i="7" s="1"/>
  <c r="E5" i="7"/>
  <c r="A6" i="7"/>
  <c r="E7" i="7"/>
  <c r="A8" i="7"/>
  <c r="E9" i="7"/>
  <c r="A10" i="7"/>
  <c r="E11" i="7"/>
  <c r="A12" i="7"/>
  <c r="E13" i="7"/>
  <c r="A14" i="7"/>
  <c r="E15" i="7"/>
  <c r="A16" i="7"/>
  <c r="D18" i="7"/>
  <c r="A19" i="7"/>
  <c r="A20" i="7"/>
  <c r="A22" i="7"/>
  <c r="A23" i="7"/>
  <c r="D24" i="7"/>
  <c r="A30" i="7"/>
  <c r="A31" i="7"/>
  <c r="D32" i="7"/>
  <c r="M38" i="7"/>
  <c r="L38" i="8"/>
  <c r="H37" i="8"/>
  <c r="H36" i="8"/>
  <c r="C32" i="8"/>
  <c r="C30" i="8"/>
  <c r="C28" i="8"/>
  <c r="C26" i="8"/>
  <c r="C24" i="8"/>
  <c r="C22" i="8"/>
  <c r="C20" i="8"/>
  <c r="C18" i="8"/>
  <c r="C16" i="8"/>
  <c r="G37" i="8"/>
  <c r="G36" i="8"/>
  <c r="F33" i="8" s="1"/>
  <c r="L33" i="8" s="1"/>
  <c r="B32" i="8"/>
  <c r="B30" i="8"/>
  <c r="B28" i="8"/>
  <c r="B26" i="8"/>
  <c r="B24" i="8"/>
  <c r="B22" i="8"/>
  <c r="B20" i="8"/>
  <c r="B18" i="8"/>
  <c r="B16" i="8"/>
  <c r="B14" i="8"/>
  <c r="B12" i="8"/>
  <c r="A30" i="8"/>
  <c r="C29" i="8"/>
  <c r="A25" i="8"/>
  <c r="D24" i="8"/>
  <c r="D23" i="8"/>
  <c r="B19" i="8"/>
  <c r="E18" i="8"/>
  <c r="E17" i="8"/>
  <c r="C14" i="8"/>
  <c r="E13" i="8"/>
  <c r="C11" i="8"/>
  <c r="C9" i="8"/>
  <c r="C7" i="8"/>
  <c r="C5" i="8"/>
  <c r="X4" i="8"/>
  <c r="X38" i="8" s="1"/>
  <c r="O4" i="8"/>
  <c r="O38" i="8" s="1"/>
  <c r="H38" i="8"/>
  <c r="B29" i="8"/>
  <c r="E28" i="8"/>
  <c r="E27" i="8"/>
  <c r="A24" i="8"/>
  <c r="C23" i="8"/>
  <c r="G38" i="8"/>
  <c r="M36" i="8"/>
  <c r="A29" i="8"/>
  <c r="D28" i="8"/>
  <c r="D27" i="8"/>
  <c r="B23" i="8"/>
  <c r="E22" i="8"/>
  <c r="E21" i="8"/>
  <c r="A18" i="8"/>
  <c r="C17" i="8"/>
  <c r="C13" i="8"/>
  <c r="A11" i="8"/>
  <c r="E10" i="8"/>
  <c r="A9" i="8"/>
  <c r="E8" i="8"/>
  <c r="A7" i="8"/>
  <c r="E6" i="8"/>
  <c r="A5" i="8"/>
  <c r="V4" i="8"/>
  <c r="V38" i="8" s="1"/>
  <c r="L36" i="8"/>
  <c r="E32" i="8"/>
  <c r="E31" i="8"/>
  <c r="A28" i="8"/>
  <c r="C27" i="8"/>
  <c r="A23" i="8"/>
  <c r="D22" i="8"/>
  <c r="D21" i="8"/>
  <c r="B17" i="8"/>
  <c r="E16" i="8"/>
  <c r="E15" i="8"/>
  <c r="B13" i="8"/>
  <c r="D10" i="8"/>
  <c r="D8" i="8"/>
  <c r="D6" i="8"/>
  <c r="AC4" i="8"/>
  <c r="AC38" i="8" s="1"/>
  <c r="U4" i="8"/>
  <c r="U38" i="8" s="1"/>
  <c r="M37" i="8"/>
  <c r="D32" i="8"/>
  <c r="D31" i="8"/>
  <c r="B27" i="8"/>
  <c r="E26" i="8"/>
  <c r="E25" i="8"/>
  <c r="A22" i="8"/>
  <c r="C21" i="8"/>
  <c r="A17" i="8"/>
  <c r="D16" i="8"/>
  <c r="D15" i="8"/>
  <c r="A13" i="8"/>
  <c r="E12" i="8"/>
  <c r="C10" i="8"/>
  <c r="C8" i="8"/>
  <c r="C6" i="8"/>
  <c r="AB4" i="8"/>
  <c r="AB38" i="8" s="1"/>
  <c r="T4" i="8"/>
  <c r="T38" i="8" s="1"/>
  <c r="L37" i="8"/>
  <c r="A32" i="8"/>
  <c r="C31" i="8"/>
  <c r="A27" i="8"/>
  <c r="D26" i="8"/>
  <c r="D25" i="8"/>
  <c r="B21" i="8"/>
  <c r="E20" i="8"/>
  <c r="E19" i="8"/>
  <c r="A16" i="8"/>
  <c r="C15" i="8"/>
  <c r="D12" i="8"/>
  <c r="B10" i="8"/>
  <c r="B8" i="8"/>
  <c r="B6" i="8"/>
  <c r="AA4" i="8"/>
  <c r="AA38" i="8" s="1"/>
  <c r="R4" i="8"/>
  <c r="R38" i="8" s="1"/>
  <c r="B5" i="8"/>
  <c r="E9" i="8"/>
  <c r="C12" i="8"/>
  <c r="B15" i="8"/>
  <c r="D17" i="8"/>
  <c r="D20" i="8"/>
  <c r="D30" i="8"/>
  <c r="M30" i="9"/>
  <c r="L30" i="9"/>
  <c r="M16" i="9"/>
  <c r="L16" i="9"/>
  <c r="M19" i="8"/>
  <c r="L19" i="8"/>
  <c r="X35" i="8"/>
  <c r="W35" i="8"/>
  <c r="AA35" i="8"/>
  <c r="Z35" i="8"/>
  <c r="Y35" i="8"/>
  <c r="V35" i="8"/>
  <c r="U35" i="8"/>
  <c r="T35" i="8"/>
  <c r="M38" i="8"/>
  <c r="T35" i="6"/>
  <c r="AB35" i="6"/>
  <c r="U4" i="7"/>
  <c r="U38" i="7" s="1"/>
  <c r="AC4" i="7"/>
  <c r="AC38" i="7" s="1"/>
  <c r="D6" i="7"/>
  <c r="D8" i="7"/>
  <c r="D10" i="7"/>
  <c r="D12" i="7"/>
  <c r="D14" i="7"/>
  <c r="D16" i="7"/>
  <c r="E20" i="7"/>
  <c r="E21" i="7"/>
  <c r="E22" i="7"/>
  <c r="C28" i="7"/>
  <c r="E29" i="7"/>
  <c r="E30" i="7"/>
  <c r="H36" i="7"/>
  <c r="L37" i="7"/>
  <c r="P4" i="8"/>
  <c r="P38" i="8" s="1"/>
  <c r="B7" i="8"/>
  <c r="E11" i="8"/>
  <c r="D14" i="8"/>
  <c r="D19" i="8"/>
  <c r="M8" i="9"/>
  <c r="L8" i="9"/>
  <c r="O4" i="7"/>
  <c r="O38" i="7" s="1"/>
  <c r="X4" i="7"/>
  <c r="X38" i="7" s="1"/>
  <c r="C5" i="7"/>
  <c r="C7" i="7"/>
  <c r="C9" i="7"/>
  <c r="C11" i="7"/>
  <c r="C13" i="7"/>
  <c r="C15" i="7"/>
  <c r="D17" i="7"/>
  <c r="A18" i="7"/>
  <c r="A24" i="7"/>
  <c r="A25" i="7"/>
  <c r="D26" i="7"/>
  <c r="A32" i="7"/>
  <c r="Y4" i="8"/>
  <c r="Y38" i="8" s="1"/>
  <c r="A6" i="8"/>
  <c r="B9" i="8"/>
  <c r="C25" i="8"/>
  <c r="M32" i="9"/>
  <c r="L32" i="9"/>
  <c r="AA4" i="9"/>
  <c r="AA38" i="9" s="1"/>
  <c r="D8" i="9"/>
  <c r="B9" i="9"/>
  <c r="B10" i="9"/>
  <c r="D16" i="9"/>
  <c r="B17" i="9"/>
  <c r="B18" i="9"/>
  <c r="A20" i="9"/>
  <c r="A21" i="9"/>
  <c r="B22" i="9"/>
  <c r="B23" i="9"/>
  <c r="C24" i="9"/>
  <c r="B26" i="9"/>
  <c r="C28" i="9"/>
  <c r="H37" i="9"/>
  <c r="F35" i="7"/>
  <c r="F35" i="8"/>
  <c r="Q4" i="9"/>
  <c r="Q38" i="9" s="1"/>
  <c r="AB4" i="9"/>
  <c r="AB38" i="9" s="1"/>
  <c r="E8" i="9"/>
  <c r="E9" i="9"/>
  <c r="C10" i="9"/>
  <c r="A11" i="9"/>
  <c r="A12" i="9"/>
  <c r="E16" i="9"/>
  <c r="E17" i="9"/>
  <c r="C18" i="9"/>
  <c r="A19" i="9"/>
  <c r="B20" i="9"/>
  <c r="B21" i="9"/>
  <c r="C22" i="9"/>
  <c r="E23" i="9"/>
  <c r="C26" i="9"/>
  <c r="H35" i="8"/>
  <c r="R4" i="9"/>
  <c r="R38" i="9" s="1"/>
  <c r="AC4" i="9"/>
  <c r="AC38" i="9" s="1"/>
  <c r="D10" i="9"/>
  <c r="B11" i="9"/>
  <c r="B12" i="9"/>
  <c r="D18" i="9"/>
  <c r="B19" i="9"/>
  <c r="C20" i="9"/>
  <c r="E21" i="9"/>
  <c r="J35" i="7"/>
  <c r="J35" i="8"/>
  <c r="G37" i="9"/>
  <c r="G36" i="9"/>
  <c r="F33" i="9" s="1"/>
  <c r="L33" i="9" s="1"/>
  <c r="B32" i="9"/>
  <c r="B30" i="9"/>
  <c r="B28" i="9"/>
  <c r="H38" i="9"/>
  <c r="A32" i="9"/>
  <c r="E31" i="9"/>
  <c r="A30" i="9"/>
  <c r="E29" i="9"/>
  <c r="A28" i="9"/>
  <c r="E27" i="9"/>
  <c r="A26" i="9"/>
  <c r="E25" i="9"/>
  <c r="G38" i="9"/>
  <c r="D31" i="9"/>
  <c r="D29" i="9"/>
  <c r="D27" i="9"/>
  <c r="D25" i="9"/>
  <c r="D23" i="9"/>
  <c r="D21" i="9"/>
  <c r="D19" i="9"/>
  <c r="D17" i="9"/>
  <c r="D15" i="9"/>
  <c r="D13" i="9"/>
  <c r="D11" i="9"/>
  <c r="D9" i="9"/>
  <c r="D7" i="9"/>
  <c r="D5" i="9"/>
  <c r="Y4" i="9"/>
  <c r="Y38" i="9" s="1"/>
  <c r="P4" i="9"/>
  <c r="P38" i="9" s="1"/>
  <c r="C31" i="9"/>
  <c r="C29" i="9"/>
  <c r="C27" i="9"/>
  <c r="C25" i="9"/>
  <c r="C23" i="9"/>
  <c r="C21" i="9"/>
  <c r="C19" i="9"/>
  <c r="C17" i="9"/>
  <c r="C15" i="9"/>
  <c r="C13" i="9"/>
  <c r="C11" i="9"/>
  <c r="C9" i="9"/>
  <c r="C7" i="9"/>
  <c r="C5" i="9"/>
  <c r="X4" i="9"/>
  <c r="X38" i="9" s="1"/>
  <c r="O4" i="9"/>
  <c r="O38" i="9" s="1"/>
  <c r="M37" i="9"/>
  <c r="M36" i="9"/>
  <c r="B31" i="9"/>
  <c r="B29" i="9"/>
  <c r="B27" i="9"/>
  <c r="B25" i="9"/>
  <c r="L37" i="9"/>
  <c r="L36" i="9"/>
  <c r="E32" i="9"/>
  <c r="A31" i="9"/>
  <c r="E30" i="9"/>
  <c r="A29" i="9"/>
  <c r="E28" i="9"/>
  <c r="A27" i="9"/>
  <c r="E26" i="9"/>
  <c r="A25" i="9"/>
  <c r="E24" i="9"/>
  <c r="M38" i="9"/>
  <c r="D32" i="9"/>
  <c r="D30" i="9"/>
  <c r="D28" i="9"/>
  <c r="D26" i="9"/>
  <c r="D24" i="9"/>
  <c r="D22" i="9"/>
  <c r="D20" i="9"/>
  <c r="T4" i="9"/>
  <c r="T38" i="9" s="1"/>
  <c r="A5" i="9"/>
  <c r="A6" i="9"/>
  <c r="E10" i="9"/>
  <c r="E11" i="9"/>
  <c r="C12" i="9"/>
  <c r="A13" i="9"/>
  <c r="A14" i="9"/>
  <c r="E18" i="9"/>
  <c r="E19" i="9"/>
  <c r="E20" i="9"/>
  <c r="H36" i="9"/>
  <c r="U4" i="9"/>
  <c r="U38" i="9" s="1"/>
  <c r="B5" i="9"/>
  <c r="B6" i="9"/>
  <c r="D12" i="9"/>
  <c r="B13" i="9"/>
  <c r="B14" i="9"/>
  <c r="L38" i="9"/>
  <c r="V4" i="9"/>
  <c r="V38" i="9" s="1"/>
  <c r="E5" i="9"/>
  <c r="C6" i="9"/>
  <c r="A7" i="9"/>
  <c r="A8" i="9"/>
  <c r="E12" i="9"/>
  <c r="E13" i="9"/>
  <c r="C14" i="9"/>
  <c r="A15" i="9"/>
  <c r="A16" i="9"/>
  <c r="Y35" i="9"/>
  <c r="Q35" i="9"/>
  <c r="Z35" i="9"/>
  <c r="F35" i="9"/>
  <c r="AA35" i="9"/>
  <c r="U35" i="9"/>
  <c r="AC35" i="9"/>
  <c r="V35" i="9"/>
  <c r="L18" i="3" l="1"/>
  <c r="M18" i="3"/>
  <c r="M8" i="4"/>
  <c r="L8" i="4"/>
  <c r="M6" i="9"/>
  <c r="L6" i="9"/>
  <c r="M9" i="9"/>
  <c r="L9" i="9"/>
  <c r="M13" i="9"/>
  <c r="L13" i="9"/>
  <c r="L29" i="9"/>
  <c r="M29" i="9"/>
  <c r="M10" i="9"/>
  <c r="L10" i="9"/>
  <c r="M28" i="9"/>
  <c r="L28" i="9"/>
  <c r="M25" i="8"/>
  <c r="L25" i="8"/>
  <c r="M27" i="8"/>
  <c r="L27" i="8"/>
  <c r="M23" i="8"/>
  <c r="L23" i="8"/>
  <c r="M5" i="8"/>
  <c r="L5" i="8"/>
  <c r="M26" i="8"/>
  <c r="L26" i="8"/>
  <c r="L18" i="5"/>
  <c r="M18" i="5"/>
  <c r="J33" i="5"/>
  <c r="H33" i="5"/>
  <c r="M17" i="5"/>
  <c r="L17" i="5"/>
  <c r="M24" i="6"/>
  <c r="L24" i="6"/>
  <c r="M32" i="6"/>
  <c r="L32" i="6"/>
  <c r="L21" i="6"/>
  <c r="M21" i="6"/>
  <c r="L26" i="4"/>
  <c r="M26" i="4"/>
  <c r="L24" i="4"/>
  <c r="M24" i="4"/>
  <c r="H35" i="4"/>
  <c r="J35" i="4"/>
  <c r="M5" i="4"/>
  <c r="L5" i="4"/>
  <c r="M17" i="4"/>
  <c r="L17" i="4"/>
  <c r="M25" i="4"/>
  <c r="L25" i="4"/>
  <c r="L33" i="4"/>
  <c r="M33" i="4"/>
  <c r="M9" i="3"/>
  <c r="L9" i="3"/>
  <c r="M22" i="3"/>
  <c r="L22" i="3"/>
  <c r="M29" i="3"/>
  <c r="L29" i="3"/>
  <c r="M7" i="8"/>
  <c r="L7" i="8"/>
  <c r="M9" i="5"/>
  <c r="L9" i="5"/>
  <c r="L7" i="6"/>
  <c r="M7" i="6"/>
  <c r="L23" i="6"/>
  <c r="M23" i="6"/>
  <c r="M17" i="9"/>
  <c r="L17" i="9"/>
  <c r="M24" i="9"/>
  <c r="L24" i="9"/>
  <c r="M15" i="7"/>
  <c r="L15" i="7"/>
  <c r="J33" i="7"/>
  <c r="H33" i="7"/>
  <c r="M9" i="8"/>
  <c r="L9" i="8"/>
  <c r="M30" i="8"/>
  <c r="L30" i="8"/>
  <c r="L25" i="7"/>
  <c r="M25" i="7"/>
  <c r="L6" i="5"/>
  <c r="M6" i="5"/>
  <c r="L22" i="5"/>
  <c r="M22" i="5"/>
  <c r="L9" i="6"/>
  <c r="M9" i="6"/>
  <c r="M26" i="6"/>
  <c r="L26" i="6"/>
  <c r="L25" i="6"/>
  <c r="M25" i="6"/>
  <c r="L18" i="4"/>
  <c r="M18" i="4"/>
  <c r="L16" i="4"/>
  <c r="M16" i="4"/>
  <c r="M17" i="3"/>
  <c r="L17" i="3"/>
  <c r="L11" i="4"/>
  <c r="M11" i="4"/>
  <c r="M14" i="3"/>
  <c r="L14" i="3"/>
  <c r="M25" i="3"/>
  <c r="L25" i="3"/>
  <c r="M12" i="9"/>
  <c r="L12" i="9"/>
  <c r="M19" i="9"/>
  <c r="L19" i="9"/>
  <c r="M18" i="9"/>
  <c r="L18" i="9"/>
  <c r="M13" i="7"/>
  <c r="L13" i="7"/>
  <c r="L11" i="8"/>
  <c r="M11" i="8"/>
  <c r="L16" i="8"/>
  <c r="M16" i="8"/>
  <c r="M32" i="8"/>
  <c r="L32" i="8"/>
  <c r="L27" i="7"/>
  <c r="M27" i="7"/>
  <c r="M25" i="5"/>
  <c r="L25" i="5"/>
  <c r="M8" i="5"/>
  <c r="L8" i="5"/>
  <c r="M24" i="5"/>
  <c r="L24" i="5"/>
  <c r="M10" i="6"/>
  <c r="L10" i="6"/>
  <c r="L5" i="6"/>
  <c r="M5" i="6"/>
  <c r="M20" i="6"/>
  <c r="L20" i="6"/>
  <c r="L27" i="6"/>
  <c r="M27" i="6"/>
  <c r="L14" i="4"/>
  <c r="M14" i="4"/>
  <c r="M12" i="4"/>
  <c r="L12" i="4"/>
  <c r="M12" i="3"/>
  <c r="L12" i="3"/>
  <c r="M31" i="3"/>
  <c r="L31" i="3"/>
  <c r="L22" i="4"/>
  <c r="M22" i="4"/>
  <c r="L20" i="4"/>
  <c r="M20" i="4"/>
  <c r="M5" i="9"/>
  <c r="L5" i="9"/>
  <c r="M21" i="9"/>
  <c r="L21" i="9"/>
  <c r="M20" i="9"/>
  <c r="L20" i="9"/>
  <c r="M11" i="7"/>
  <c r="L11" i="7"/>
  <c r="M6" i="8"/>
  <c r="L6" i="8"/>
  <c r="M21" i="8"/>
  <c r="L21" i="8"/>
  <c r="M29" i="8"/>
  <c r="L29" i="8"/>
  <c r="M18" i="8"/>
  <c r="L18" i="8"/>
  <c r="J33" i="8"/>
  <c r="H33" i="8"/>
  <c r="L29" i="7"/>
  <c r="M29" i="7"/>
  <c r="M10" i="5"/>
  <c r="L10" i="5"/>
  <c r="M26" i="5"/>
  <c r="L26" i="5"/>
  <c r="M15" i="5"/>
  <c r="L15" i="5"/>
  <c r="M28" i="6"/>
  <c r="L28" i="6"/>
  <c r="M6" i="6"/>
  <c r="L6" i="6"/>
  <c r="J33" i="6"/>
  <c r="H33" i="6"/>
  <c r="L13" i="6"/>
  <c r="M13" i="6"/>
  <c r="L29" i="6"/>
  <c r="M29" i="6"/>
  <c r="L10" i="4"/>
  <c r="M10" i="4"/>
  <c r="M13" i="4"/>
  <c r="L13" i="4"/>
  <c r="M21" i="4"/>
  <c r="L21" i="4"/>
  <c r="M29" i="4"/>
  <c r="L29" i="4"/>
  <c r="M15" i="3"/>
  <c r="L15" i="3"/>
  <c r="L28" i="3"/>
  <c r="M28" i="3"/>
  <c r="L31" i="9"/>
  <c r="M31" i="9"/>
  <c r="L28" i="8"/>
  <c r="M28" i="8"/>
  <c r="M20" i="5"/>
  <c r="L20" i="5"/>
  <c r="M7" i="9"/>
  <c r="L7" i="9"/>
  <c r="M23" i="9"/>
  <c r="L23" i="9"/>
  <c r="M26" i="9"/>
  <c r="L26" i="9"/>
  <c r="M9" i="7"/>
  <c r="L9" i="7"/>
  <c r="M28" i="7"/>
  <c r="L28" i="7"/>
  <c r="M8" i="8"/>
  <c r="L8" i="8"/>
  <c r="L13" i="8"/>
  <c r="M13" i="8"/>
  <c r="M14" i="8"/>
  <c r="L14" i="8"/>
  <c r="M20" i="8"/>
  <c r="L20" i="8"/>
  <c r="L31" i="7"/>
  <c r="M31" i="7"/>
  <c r="M12" i="5"/>
  <c r="L12" i="5"/>
  <c r="M28" i="5"/>
  <c r="L28" i="5"/>
  <c r="M14" i="6"/>
  <c r="L14" i="6"/>
  <c r="M8" i="6"/>
  <c r="L8" i="6"/>
  <c r="L15" i="6"/>
  <c r="M15" i="6"/>
  <c r="L31" i="6"/>
  <c r="M31" i="6"/>
  <c r="L34" i="4"/>
  <c r="M34" i="4"/>
  <c r="M19" i="3"/>
  <c r="L19" i="3"/>
  <c r="J33" i="9"/>
  <c r="H33" i="9"/>
  <c r="M25" i="9"/>
  <c r="L25" i="9"/>
  <c r="M7" i="7"/>
  <c r="L7" i="7"/>
  <c r="M12" i="8"/>
  <c r="L12" i="8"/>
  <c r="M10" i="8"/>
  <c r="L10" i="8"/>
  <c r="M17" i="8"/>
  <c r="L17" i="8"/>
  <c r="M22" i="8"/>
  <c r="L22" i="8"/>
  <c r="L14" i="5"/>
  <c r="M14" i="5"/>
  <c r="L30" i="5"/>
  <c r="M30" i="5"/>
  <c r="M31" i="5"/>
  <c r="L31" i="5"/>
  <c r="M18" i="6"/>
  <c r="L18" i="6"/>
  <c r="M16" i="6"/>
  <c r="L16" i="6"/>
  <c r="M22" i="6"/>
  <c r="L22" i="6"/>
  <c r="M30" i="6"/>
  <c r="L30" i="6"/>
  <c r="L17" i="6"/>
  <c r="M17" i="6"/>
  <c r="M31" i="4"/>
  <c r="L31" i="4"/>
  <c r="L30" i="3"/>
  <c r="M30" i="3"/>
  <c r="M9" i="4"/>
  <c r="L9" i="4"/>
  <c r="L7" i="3"/>
  <c r="M7" i="3"/>
  <c r="H33" i="3"/>
  <c r="J33" i="3"/>
  <c r="M15" i="9"/>
  <c r="L15" i="9"/>
  <c r="L23" i="7"/>
  <c r="M23" i="7"/>
  <c r="M14" i="9"/>
  <c r="L14" i="9"/>
  <c r="M11" i="9"/>
  <c r="L11" i="9"/>
  <c r="L27" i="9"/>
  <c r="M27" i="9"/>
  <c r="M22" i="9"/>
  <c r="L22" i="9"/>
  <c r="M5" i="7"/>
  <c r="L5" i="7"/>
  <c r="M15" i="8"/>
  <c r="L15" i="8"/>
  <c r="M31" i="8"/>
  <c r="L31" i="8"/>
  <c r="M24" i="8"/>
  <c r="L24" i="8"/>
  <c r="M16" i="5"/>
  <c r="L16" i="5"/>
  <c r="M32" i="5"/>
  <c r="L32" i="5"/>
  <c r="L11" i="6"/>
  <c r="M11" i="6"/>
  <c r="L19" i="6"/>
  <c r="M19" i="6"/>
  <c r="M12" i="6"/>
  <c r="L12" i="6"/>
  <c r="L30" i="4"/>
  <c r="M30" i="4"/>
  <c r="L28" i="4"/>
  <c r="M28" i="4"/>
  <c r="M20" i="3"/>
  <c r="L20" i="3"/>
  <c r="L6" i="3"/>
  <c r="M6" i="3"/>
  <c r="M26" i="3"/>
  <c r="L26" i="3"/>
  <c r="M33" i="8" l="1"/>
  <c r="N33" i="8" s="1"/>
  <c r="AE33" i="8" s="1"/>
  <c r="AF33" i="8" s="1"/>
  <c r="M33" i="7"/>
  <c r="N5" i="7" s="1"/>
  <c r="AE5" i="7" s="1"/>
  <c r="AF5" i="7" s="1"/>
  <c r="M33" i="6"/>
  <c r="N26" i="6" s="1"/>
  <c r="AE26" i="6" s="1"/>
  <c r="AF26" i="6" s="1"/>
  <c r="M33" i="3"/>
  <c r="N26" i="3" s="1"/>
  <c r="AE26" i="3" s="1"/>
  <c r="AF26" i="3" s="1"/>
  <c r="M35" i="4"/>
  <c r="N33" i="4" s="1"/>
  <c r="AE33" i="4" s="1"/>
  <c r="AF33" i="4" s="1"/>
  <c r="N16" i="6"/>
  <c r="AE16" i="6" s="1"/>
  <c r="AF16" i="6" s="1"/>
  <c r="N15" i="6"/>
  <c r="AE15" i="6" s="1"/>
  <c r="AF15" i="6" s="1"/>
  <c r="N11" i="6"/>
  <c r="AE11" i="6" s="1"/>
  <c r="AF11" i="6" s="1"/>
  <c r="N18" i="6"/>
  <c r="AE18" i="6" s="1"/>
  <c r="AF18" i="6" s="1"/>
  <c r="N20" i="6"/>
  <c r="AE20" i="6" s="1"/>
  <c r="AF20" i="6" s="1"/>
  <c r="N21" i="6"/>
  <c r="AE21" i="6" s="1"/>
  <c r="AF21" i="6" s="1"/>
  <c r="M33" i="5"/>
  <c r="N22" i="5" s="1"/>
  <c r="AE22" i="5" s="1"/>
  <c r="AF22" i="5" s="1"/>
  <c r="N28" i="6"/>
  <c r="AE28" i="6" s="1"/>
  <c r="AF28" i="6" s="1"/>
  <c r="N23" i="6"/>
  <c r="AE23" i="6" s="1"/>
  <c r="AF23" i="6" s="1"/>
  <c r="N32" i="6"/>
  <c r="AE32" i="6" s="1"/>
  <c r="AF32" i="6" s="1"/>
  <c r="N30" i="6"/>
  <c r="AE30" i="6" s="1"/>
  <c r="AF30" i="6" s="1"/>
  <c r="M33" i="9"/>
  <c r="N5" i="9" s="1"/>
  <c r="AE5" i="9" s="1"/>
  <c r="AF5" i="9" s="1"/>
  <c r="N29" i="6"/>
  <c r="AE29" i="6" s="1"/>
  <c r="AF29" i="6" s="1"/>
  <c r="N16" i="8"/>
  <c r="AE16" i="8" s="1"/>
  <c r="AF16" i="8" s="1"/>
  <c r="N9" i="6"/>
  <c r="AE9" i="6" s="1"/>
  <c r="AF9" i="6" s="1"/>
  <c r="N5" i="6"/>
  <c r="AE5" i="6" s="1"/>
  <c r="AF5" i="6" s="1"/>
  <c r="N7" i="6"/>
  <c r="AE7" i="6" s="1"/>
  <c r="AF7" i="6" s="1"/>
  <c r="N24" i="6"/>
  <c r="AE24" i="6" s="1"/>
  <c r="AF24" i="6" s="1"/>
  <c r="N27" i="8"/>
  <c r="AE27" i="8" s="1"/>
  <c r="AF27" i="8" s="1"/>
  <c r="N22" i="6"/>
  <c r="AE22" i="6" s="1"/>
  <c r="AF22" i="6" s="1"/>
  <c r="N31" i="6"/>
  <c r="AE31" i="6" s="1"/>
  <c r="AF31" i="6" s="1"/>
  <c r="N13" i="6"/>
  <c r="AE13" i="6" s="1"/>
  <c r="AF13" i="6" s="1"/>
  <c r="N10" i="6"/>
  <c r="AE10" i="6" s="1"/>
  <c r="AF10" i="6" s="1"/>
  <c r="N6" i="8"/>
  <c r="AE6" i="8" s="1"/>
  <c r="AF6" i="8" s="1"/>
  <c r="N11" i="8" l="1"/>
  <c r="AE11" i="8" s="1"/>
  <c r="AF11" i="8" s="1"/>
  <c r="N30" i="8"/>
  <c r="AE30" i="8" s="1"/>
  <c r="AF30" i="8" s="1"/>
  <c r="N25" i="8"/>
  <c r="AE25" i="8" s="1"/>
  <c r="AF25" i="8" s="1"/>
  <c r="N10" i="8"/>
  <c r="AE10" i="8" s="1"/>
  <c r="AF10" i="8" s="1"/>
  <c r="N17" i="8"/>
  <c r="AE17" i="8" s="1"/>
  <c r="AF17" i="8" s="1"/>
  <c r="N9" i="8"/>
  <c r="AE9" i="8" s="1"/>
  <c r="AF9" i="8" s="1"/>
  <c r="N29" i="7"/>
  <c r="AE29" i="7" s="1"/>
  <c r="AF29" i="7" s="1"/>
  <c r="N21" i="7"/>
  <c r="AE21" i="7" s="1"/>
  <c r="AF21" i="7" s="1"/>
  <c r="N30" i="7"/>
  <c r="AE30" i="7" s="1"/>
  <c r="AF30" i="7" s="1"/>
  <c r="N11" i="7"/>
  <c r="AE11" i="7" s="1"/>
  <c r="AF11" i="7" s="1"/>
  <c r="N22" i="7"/>
  <c r="AE22" i="7" s="1"/>
  <c r="AF22" i="7" s="1"/>
  <c r="N19" i="7"/>
  <c r="AE19" i="7" s="1"/>
  <c r="AF19" i="7" s="1"/>
  <c r="N32" i="7"/>
  <c r="AE32" i="7" s="1"/>
  <c r="AF32" i="7" s="1"/>
  <c r="N26" i="7"/>
  <c r="AE26" i="7" s="1"/>
  <c r="AF26" i="7" s="1"/>
  <c r="N28" i="7"/>
  <c r="AE28" i="7" s="1"/>
  <c r="AF28" i="7" s="1"/>
  <c r="N10" i="7"/>
  <c r="AE10" i="7" s="1"/>
  <c r="AF10" i="7" s="1"/>
  <c r="N24" i="7"/>
  <c r="AE24" i="7" s="1"/>
  <c r="AF24" i="7" s="1"/>
  <c r="N33" i="7"/>
  <c r="AE33" i="7" s="1"/>
  <c r="AF33" i="7" s="1"/>
  <c r="N9" i="7"/>
  <c r="AE9" i="7" s="1"/>
  <c r="AF9" i="7" s="1"/>
  <c r="L34" i="7"/>
  <c r="N19" i="8"/>
  <c r="AE19" i="8" s="1"/>
  <c r="AF19" i="8" s="1"/>
  <c r="N23" i="7"/>
  <c r="AE23" i="7" s="1"/>
  <c r="AF23" i="7" s="1"/>
  <c r="N14" i="7"/>
  <c r="AE14" i="7" s="1"/>
  <c r="AF14" i="7" s="1"/>
  <c r="N13" i="7"/>
  <c r="AE13" i="7" s="1"/>
  <c r="AF13" i="7" s="1"/>
  <c r="N17" i="7"/>
  <c r="AE17" i="7" s="1"/>
  <c r="AF17" i="7" s="1"/>
  <c r="N15" i="7"/>
  <c r="AE15" i="7" s="1"/>
  <c r="AF15" i="7" s="1"/>
  <c r="N16" i="7"/>
  <c r="AE16" i="7" s="1"/>
  <c r="AF16" i="7" s="1"/>
  <c r="N20" i="7"/>
  <c r="AE20" i="7" s="1"/>
  <c r="AF20" i="7" s="1"/>
  <c r="N7" i="7"/>
  <c r="AE7" i="7" s="1"/>
  <c r="AF7" i="7" s="1"/>
  <c r="N27" i="7"/>
  <c r="AE27" i="7" s="1"/>
  <c r="AF27" i="7" s="1"/>
  <c r="N25" i="7"/>
  <c r="AE25" i="7" s="1"/>
  <c r="AF25" i="7" s="1"/>
  <c r="N8" i="7"/>
  <c r="AE8" i="7" s="1"/>
  <c r="AF8" i="7" s="1"/>
  <c r="N6" i="7"/>
  <c r="AE6" i="7" s="1"/>
  <c r="AF6" i="7" s="1"/>
  <c r="N31" i="7"/>
  <c r="AE31" i="7" s="1"/>
  <c r="AF31" i="7" s="1"/>
  <c r="N14" i="9"/>
  <c r="AE14" i="9" s="1"/>
  <c r="AF14" i="9" s="1"/>
  <c r="N22" i="9"/>
  <c r="AE22" i="9" s="1"/>
  <c r="AF22" i="9" s="1"/>
  <c r="N29" i="9"/>
  <c r="AE29" i="9" s="1"/>
  <c r="AF29" i="9" s="1"/>
  <c r="N32" i="8"/>
  <c r="AE32" i="8" s="1"/>
  <c r="AF32" i="8" s="1"/>
  <c r="N13" i="8"/>
  <c r="AE13" i="8" s="1"/>
  <c r="AF13" i="8" s="1"/>
  <c r="N8" i="8"/>
  <c r="AE8" i="8" s="1"/>
  <c r="AF8" i="8" s="1"/>
  <c r="N26" i="8"/>
  <c r="AE26" i="8" s="1"/>
  <c r="AF26" i="8" s="1"/>
  <c r="N22" i="8"/>
  <c r="AE22" i="8" s="1"/>
  <c r="AF22" i="8" s="1"/>
  <c r="N23" i="8"/>
  <c r="AE23" i="8" s="1"/>
  <c r="AF23" i="8" s="1"/>
  <c r="L34" i="8"/>
  <c r="N21" i="8"/>
  <c r="AE21" i="8" s="1"/>
  <c r="AF21" i="8" s="1"/>
  <c r="N29" i="8"/>
  <c r="AE29" i="8" s="1"/>
  <c r="AF29" i="8" s="1"/>
  <c r="N7" i="8"/>
  <c r="AE7" i="8" s="1"/>
  <c r="AF7" i="8" s="1"/>
  <c r="N17" i="6"/>
  <c r="AE17" i="6" s="1"/>
  <c r="AF17" i="6" s="1"/>
  <c r="N12" i="8"/>
  <c r="AE12" i="8" s="1"/>
  <c r="AF12" i="8" s="1"/>
  <c r="N14" i="8"/>
  <c r="AE14" i="8" s="1"/>
  <c r="AF14" i="8" s="1"/>
  <c r="N28" i="8"/>
  <c r="AE28" i="8" s="1"/>
  <c r="AF28" i="8" s="1"/>
  <c r="N31" i="8"/>
  <c r="AE31" i="8" s="1"/>
  <c r="AF31" i="8" s="1"/>
  <c r="N13" i="4"/>
  <c r="AE13" i="4" s="1"/>
  <c r="AF13" i="4" s="1"/>
  <c r="N22" i="4"/>
  <c r="AE22" i="4" s="1"/>
  <c r="AF22" i="4" s="1"/>
  <c r="N26" i="4"/>
  <c r="AE26" i="4" s="1"/>
  <c r="AF26" i="4" s="1"/>
  <c r="N24" i="9"/>
  <c r="AE24" i="9" s="1"/>
  <c r="AF24" i="9" s="1"/>
  <c r="N5" i="4"/>
  <c r="AE5" i="4" s="1"/>
  <c r="AF5" i="4" s="1"/>
  <c r="N12" i="5"/>
  <c r="AE12" i="5" s="1"/>
  <c r="AF12" i="5" s="1"/>
  <c r="N18" i="8"/>
  <c r="AE18" i="8" s="1"/>
  <c r="AF18" i="8" s="1"/>
  <c r="N5" i="8"/>
  <c r="AE5" i="8" s="1"/>
  <c r="AF5" i="8" s="1"/>
  <c r="L36" i="4"/>
  <c r="N20" i="8"/>
  <c r="AE20" i="8" s="1"/>
  <c r="AF20" i="8" s="1"/>
  <c r="N24" i="8"/>
  <c r="AE24" i="8" s="1"/>
  <c r="AF24" i="8" s="1"/>
  <c r="N15" i="8"/>
  <c r="AE15" i="8" s="1"/>
  <c r="AF15" i="8" s="1"/>
  <c r="N29" i="4"/>
  <c r="AE29" i="4" s="1"/>
  <c r="AF29" i="4" s="1"/>
  <c r="N16" i="4"/>
  <c r="AE16" i="4" s="1"/>
  <c r="AF16" i="4" s="1"/>
  <c r="N30" i="4"/>
  <c r="AE30" i="4" s="1"/>
  <c r="AF30" i="4" s="1"/>
  <c r="N6" i="4"/>
  <c r="AE6" i="4" s="1"/>
  <c r="AF6" i="4" s="1"/>
  <c r="N8" i="6"/>
  <c r="AE8" i="6" s="1"/>
  <c r="AF8" i="6" s="1"/>
  <c r="N11" i="4"/>
  <c r="AE11" i="4" s="1"/>
  <c r="AF11" i="4" s="1"/>
  <c r="N24" i="4"/>
  <c r="AE24" i="4" s="1"/>
  <c r="AF24" i="4" s="1"/>
  <c r="N27" i="4"/>
  <c r="AE27" i="4" s="1"/>
  <c r="AF27" i="4" s="1"/>
  <c r="N6" i="6"/>
  <c r="AE6" i="6" s="1"/>
  <c r="AF6" i="6" s="1"/>
  <c r="N18" i="4"/>
  <c r="AE18" i="4" s="1"/>
  <c r="AF18" i="4" s="1"/>
  <c r="N17" i="4"/>
  <c r="AE17" i="4" s="1"/>
  <c r="AF17" i="4" s="1"/>
  <c r="N25" i="6"/>
  <c r="AE25" i="6" s="1"/>
  <c r="AF25" i="6" s="1"/>
  <c r="N19" i="6"/>
  <c r="AE19" i="6" s="1"/>
  <c r="AF19" i="6" s="1"/>
  <c r="N14" i="6"/>
  <c r="AE14" i="6" s="1"/>
  <c r="AF14" i="6" s="1"/>
  <c r="N14" i="4"/>
  <c r="AE14" i="4" s="1"/>
  <c r="AF14" i="4" s="1"/>
  <c r="N15" i="4"/>
  <c r="AE15" i="4" s="1"/>
  <c r="AF15" i="4" s="1"/>
  <c r="L34" i="3"/>
  <c r="N20" i="4"/>
  <c r="AE20" i="4" s="1"/>
  <c r="AF20" i="4" s="1"/>
  <c r="N18" i="7"/>
  <c r="AE18" i="7" s="1"/>
  <c r="AF18" i="7" s="1"/>
  <c r="N12" i="7"/>
  <c r="AE12" i="7" s="1"/>
  <c r="AF12" i="7" s="1"/>
  <c r="N10" i="4"/>
  <c r="AE10" i="4" s="1"/>
  <c r="AF10" i="4" s="1"/>
  <c r="N8" i="4"/>
  <c r="AE8" i="4" s="1"/>
  <c r="AF8" i="4" s="1"/>
  <c r="N31" i="4"/>
  <c r="AE31" i="4" s="1"/>
  <c r="AF31" i="4" s="1"/>
  <c r="N10" i="3"/>
  <c r="AE10" i="3" s="1"/>
  <c r="AF10" i="3" s="1"/>
  <c r="N13" i="3"/>
  <c r="AE13" i="3" s="1"/>
  <c r="AF13" i="3" s="1"/>
  <c r="N12" i="3"/>
  <c r="AE12" i="3" s="1"/>
  <c r="AF12" i="3" s="1"/>
  <c r="N31" i="3"/>
  <c r="AE31" i="3" s="1"/>
  <c r="AF31" i="3" s="1"/>
  <c r="N23" i="3"/>
  <c r="AE23" i="3" s="1"/>
  <c r="AF23" i="3" s="1"/>
  <c r="N16" i="3"/>
  <c r="AE16" i="3" s="1"/>
  <c r="AF16" i="3" s="1"/>
  <c r="N20" i="3"/>
  <c r="AE20" i="3" s="1"/>
  <c r="AF20" i="3" s="1"/>
  <c r="N14" i="3"/>
  <c r="AE14" i="3" s="1"/>
  <c r="AF14" i="3" s="1"/>
  <c r="N30" i="3"/>
  <c r="AE30" i="3" s="1"/>
  <c r="AF30" i="3" s="1"/>
  <c r="N33" i="3"/>
  <c r="AE33" i="3" s="1"/>
  <c r="AF33" i="3" s="1"/>
  <c r="N24" i="3"/>
  <c r="AE24" i="3" s="1"/>
  <c r="AF24" i="3" s="1"/>
  <c r="N25" i="4"/>
  <c r="AE25" i="4" s="1"/>
  <c r="AF25" i="4" s="1"/>
  <c r="N25" i="9"/>
  <c r="AE25" i="9" s="1"/>
  <c r="AF25" i="9" s="1"/>
  <c r="N27" i="6"/>
  <c r="AE27" i="6" s="1"/>
  <c r="AF27" i="6" s="1"/>
  <c r="N12" i="6"/>
  <c r="AE12" i="6" s="1"/>
  <c r="AF12" i="6" s="1"/>
  <c r="N19" i="3"/>
  <c r="AE19" i="3" s="1"/>
  <c r="AF19" i="3" s="1"/>
  <c r="N6" i="3"/>
  <c r="AE6" i="3" s="1"/>
  <c r="AF6" i="3" s="1"/>
  <c r="N29" i="3"/>
  <c r="AE29" i="3" s="1"/>
  <c r="AF29" i="3" s="1"/>
  <c r="N17" i="3"/>
  <c r="AE17" i="3" s="1"/>
  <c r="AF17" i="3" s="1"/>
  <c r="N15" i="3"/>
  <c r="AE15" i="3" s="1"/>
  <c r="AF15" i="3" s="1"/>
  <c r="N27" i="3"/>
  <c r="AE27" i="3" s="1"/>
  <c r="AF27" i="3" s="1"/>
  <c r="N22" i="3"/>
  <c r="AE22" i="3" s="1"/>
  <c r="AF22" i="3" s="1"/>
  <c r="N18" i="3"/>
  <c r="AE18" i="3" s="1"/>
  <c r="AF18" i="3" s="1"/>
  <c r="N9" i="3"/>
  <c r="AE9" i="3" s="1"/>
  <c r="AF9" i="3" s="1"/>
  <c r="N8" i="3"/>
  <c r="AE8" i="3" s="1"/>
  <c r="AF8" i="3" s="1"/>
  <c r="N25" i="3"/>
  <c r="AE25" i="3" s="1"/>
  <c r="AF25" i="3" s="1"/>
  <c r="N5" i="3"/>
  <c r="AE5" i="3" s="1"/>
  <c r="AF5" i="3" s="1"/>
  <c r="N28" i="3"/>
  <c r="AE28" i="3" s="1"/>
  <c r="AF28" i="3" s="1"/>
  <c r="N23" i="4"/>
  <c r="AE23" i="4" s="1"/>
  <c r="AF23" i="4" s="1"/>
  <c r="N33" i="6"/>
  <c r="AE33" i="6" s="1"/>
  <c r="AF33" i="6" s="1"/>
  <c r="L34" i="6"/>
  <c r="N32" i="4"/>
  <c r="AE32" i="4" s="1"/>
  <c r="AF32" i="4" s="1"/>
  <c r="N7" i="4"/>
  <c r="AE7" i="4" s="1"/>
  <c r="AF7" i="4" s="1"/>
  <c r="N35" i="4"/>
  <c r="AE35" i="4" s="1"/>
  <c r="AF35" i="4" s="1"/>
  <c r="N21" i="4"/>
  <c r="AE21" i="4" s="1"/>
  <c r="AF21" i="4" s="1"/>
  <c r="N34" i="4"/>
  <c r="AE34" i="4" s="1"/>
  <c r="AF34" i="4" s="1"/>
  <c r="N9" i="4"/>
  <c r="AE9" i="4" s="1"/>
  <c r="AF9" i="4" s="1"/>
  <c r="N26" i="9"/>
  <c r="AE26" i="9" s="1"/>
  <c r="AF26" i="9" s="1"/>
  <c r="N12" i="4"/>
  <c r="AE12" i="4" s="1"/>
  <c r="AF12" i="4" s="1"/>
  <c r="N9" i="9"/>
  <c r="AE9" i="9" s="1"/>
  <c r="AF9" i="9" s="1"/>
  <c r="N17" i="9"/>
  <c r="AE17" i="9" s="1"/>
  <c r="AF17" i="9" s="1"/>
  <c r="N7" i="3"/>
  <c r="AE7" i="3" s="1"/>
  <c r="AF7" i="3" s="1"/>
  <c r="N6" i="9"/>
  <c r="AE6" i="9" s="1"/>
  <c r="AF6" i="9" s="1"/>
  <c r="N19" i="4"/>
  <c r="AE19" i="4" s="1"/>
  <c r="AF19" i="4" s="1"/>
  <c r="N28" i="4"/>
  <c r="AE28" i="4" s="1"/>
  <c r="AF28" i="4" s="1"/>
  <c r="N21" i="3"/>
  <c r="AE21" i="3" s="1"/>
  <c r="AF21" i="3" s="1"/>
  <c r="N11" i="3"/>
  <c r="AE11" i="3" s="1"/>
  <c r="AF11" i="3" s="1"/>
  <c r="N32" i="3"/>
  <c r="AE32" i="3" s="1"/>
  <c r="AF32" i="3" s="1"/>
  <c r="N25" i="5"/>
  <c r="AE25" i="5" s="1"/>
  <c r="AF25" i="5" s="1"/>
  <c r="N12" i="9"/>
  <c r="AE12" i="9" s="1"/>
  <c r="AF12" i="9" s="1"/>
  <c r="N20" i="5"/>
  <c r="AE20" i="5" s="1"/>
  <c r="AF20" i="5" s="1"/>
  <c r="N15" i="9"/>
  <c r="AE15" i="9" s="1"/>
  <c r="AF15" i="9" s="1"/>
  <c r="N7" i="9"/>
  <c r="AE7" i="9" s="1"/>
  <c r="AF7" i="9" s="1"/>
  <c r="N10" i="5"/>
  <c r="AE10" i="5" s="1"/>
  <c r="AF10" i="5" s="1"/>
  <c r="N13" i="9"/>
  <c r="AE13" i="9" s="1"/>
  <c r="AF13" i="9" s="1"/>
  <c r="N24" i="5"/>
  <c r="AE24" i="5" s="1"/>
  <c r="AF24" i="5" s="1"/>
  <c r="N27" i="9"/>
  <c r="AE27" i="9" s="1"/>
  <c r="AF27" i="9" s="1"/>
  <c r="N31" i="9"/>
  <c r="AE31" i="9" s="1"/>
  <c r="AF31" i="9" s="1"/>
  <c r="N30" i="5"/>
  <c r="AE30" i="5" s="1"/>
  <c r="AF30" i="5" s="1"/>
  <c r="N31" i="5"/>
  <c r="AE31" i="5" s="1"/>
  <c r="AF31" i="5" s="1"/>
  <c r="N9" i="5"/>
  <c r="AE9" i="5" s="1"/>
  <c r="AF9" i="5" s="1"/>
  <c r="N21" i="9"/>
  <c r="AE21" i="9" s="1"/>
  <c r="AF21" i="9" s="1"/>
  <c r="N18" i="9"/>
  <c r="AE18" i="9" s="1"/>
  <c r="AF18" i="9" s="1"/>
  <c r="N19" i="9"/>
  <c r="AE19" i="9" s="1"/>
  <c r="AF19" i="9" s="1"/>
  <c r="N6" i="5"/>
  <c r="AE6" i="5" s="1"/>
  <c r="AF6" i="5" s="1"/>
  <c r="N17" i="5"/>
  <c r="AE17" i="5" s="1"/>
  <c r="AF17" i="5" s="1"/>
  <c r="N18" i="5"/>
  <c r="AE18" i="5" s="1"/>
  <c r="AF18" i="5" s="1"/>
  <c r="N30" i="9"/>
  <c r="AE30" i="9" s="1"/>
  <c r="AF30" i="9" s="1"/>
  <c r="N16" i="9"/>
  <c r="AE16" i="9" s="1"/>
  <c r="AF16" i="9" s="1"/>
  <c r="N32" i="9"/>
  <c r="AE32" i="9" s="1"/>
  <c r="AF32" i="9" s="1"/>
  <c r="N8" i="9"/>
  <c r="AE8" i="9" s="1"/>
  <c r="AF8" i="9" s="1"/>
  <c r="N33" i="9"/>
  <c r="AE33" i="9" s="1"/>
  <c r="AF33" i="9" s="1"/>
  <c r="L34" i="9"/>
  <c r="N26" i="5"/>
  <c r="AE26" i="5" s="1"/>
  <c r="AF26" i="5" s="1"/>
  <c r="N32" i="5"/>
  <c r="AE32" i="5" s="1"/>
  <c r="AF32" i="5" s="1"/>
  <c r="N8" i="5"/>
  <c r="AE8" i="5" s="1"/>
  <c r="AF8" i="5" s="1"/>
  <c r="N23" i="9"/>
  <c r="AE23" i="9" s="1"/>
  <c r="AF23" i="9" s="1"/>
  <c r="N28" i="5"/>
  <c r="AE28" i="5" s="1"/>
  <c r="AF28" i="5" s="1"/>
  <c r="N15" i="5"/>
  <c r="AE15" i="5" s="1"/>
  <c r="AF15" i="5" s="1"/>
  <c r="N10" i="9"/>
  <c r="AE10" i="9" s="1"/>
  <c r="AF10" i="9" s="1"/>
  <c r="N28" i="9"/>
  <c r="AE28" i="9" s="1"/>
  <c r="AF28" i="9" s="1"/>
  <c r="N11" i="9"/>
  <c r="AE11" i="9" s="1"/>
  <c r="AF11" i="9" s="1"/>
  <c r="N27" i="5"/>
  <c r="AE27" i="5" s="1"/>
  <c r="AF27" i="5" s="1"/>
  <c r="N21" i="5"/>
  <c r="AE21" i="5" s="1"/>
  <c r="AF21" i="5" s="1"/>
  <c r="N19" i="5"/>
  <c r="AE19" i="5" s="1"/>
  <c r="AF19" i="5" s="1"/>
  <c r="L34" i="5"/>
  <c r="N7" i="5"/>
  <c r="AE7" i="5" s="1"/>
  <c r="AF7" i="5" s="1"/>
  <c r="N23" i="5"/>
  <c r="AE23" i="5" s="1"/>
  <c r="AF23" i="5" s="1"/>
  <c r="N33" i="5"/>
  <c r="AE33" i="5" s="1"/>
  <c r="AF33" i="5" s="1"/>
  <c r="N5" i="5"/>
  <c r="AE5" i="5" s="1"/>
  <c r="AF5" i="5" s="1"/>
  <c r="N11" i="5"/>
  <c r="AE11" i="5" s="1"/>
  <c r="AF11" i="5" s="1"/>
  <c r="N29" i="5"/>
  <c r="AE29" i="5" s="1"/>
  <c r="AF29" i="5" s="1"/>
  <c r="N13" i="5"/>
  <c r="AE13" i="5" s="1"/>
  <c r="AF13" i="5" s="1"/>
  <c r="N20" i="9"/>
  <c r="AE20" i="9" s="1"/>
  <c r="AF20" i="9" s="1"/>
  <c r="N14" i="5"/>
  <c r="AE14" i="5" s="1"/>
  <c r="AF14" i="5" s="1"/>
  <c r="N16" i="5"/>
  <c r="AE16" i="5" s="1"/>
  <c r="AF16" i="5" s="1"/>
</calcChain>
</file>

<file path=xl/sharedStrings.xml><?xml version="1.0" encoding="utf-8"?>
<sst xmlns="http://schemas.openxmlformats.org/spreadsheetml/2006/main" count="920" uniqueCount="430">
  <si>
    <t>БИВ</t>
  </si>
  <si>
    <t>Ерохина</t>
  </si>
  <si>
    <t>-----</t>
  </si>
  <si>
    <t>Семинары</t>
  </si>
  <si>
    <t>Лекции</t>
  </si>
  <si>
    <t>Лабораторные</t>
  </si>
  <si>
    <t>Дата окончания модуля</t>
  </si>
  <si>
    <t>Алгоритмизация и программирование</t>
  </si>
  <si>
    <t>2025/2026</t>
  </si>
  <si>
    <t>лаб</t>
  </si>
  <si>
    <t>сем</t>
  </si>
  <si>
    <t>лекц</t>
  </si>
  <si>
    <t>к.р.</t>
  </si>
  <si>
    <t>К.С.</t>
  </si>
  <si>
    <t>Нак</t>
  </si>
  <si>
    <t>Итог</t>
  </si>
  <si>
    <t>1 подгруппа</t>
  </si>
  <si>
    <t>дедлайн на неделе 1 лаба и 2 лаба</t>
  </si>
  <si>
    <t>2 подгруппа</t>
  </si>
  <si>
    <t>№ п\п</t>
  </si>
  <si>
    <t>№ вар</t>
  </si>
  <si>
    <t>подгруппа</t>
  </si>
  <si>
    <t>Группа 251</t>
  </si>
  <si>
    <t xml:space="preserve">Староста: </t>
  </si>
  <si>
    <t xml:space="preserve">Зам. Старосты: </t>
  </si>
  <si>
    <t>Амеличев</t>
  </si>
  <si>
    <t>Иван</t>
  </si>
  <si>
    <t>Владимирович</t>
  </si>
  <si>
    <t>Баранова</t>
  </si>
  <si>
    <t>Мария</t>
  </si>
  <si>
    <t>Максимовна</t>
  </si>
  <si>
    <t>Александров</t>
  </si>
  <si>
    <t>Арсений</t>
  </si>
  <si>
    <t>Андреевич</t>
  </si>
  <si>
    <t>Абертасова</t>
  </si>
  <si>
    <t>Екатерина</t>
  </si>
  <si>
    <t>Александровна</t>
  </si>
  <si>
    <t>Абашилов</t>
  </si>
  <si>
    <t>Магомед</t>
  </si>
  <si>
    <t>Тагирович</t>
  </si>
  <si>
    <t>Александр</t>
  </si>
  <si>
    <t>Александрович</t>
  </si>
  <si>
    <t>Абданбаева</t>
  </si>
  <si>
    <t>Айдана</t>
  </si>
  <si>
    <t>Женишбековна</t>
  </si>
  <si>
    <t>Бондарь</t>
  </si>
  <si>
    <t>Алёна</t>
  </si>
  <si>
    <t>Витальевна</t>
  </si>
  <si>
    <t>Васина</t>
  </si>
  <si>
    <t>Наталья</t>
  </si>
  <si>
    <t>Васильевна</t>
  </si>
  <si>
    <t>Белых</t>
  </si>
  <si>
    <t>Илья</t>
  </si>
  <si>
    <t>Андреев</t>
  </si>
  <si>
    <t>Глеб</t>
  </si>
  <si>
    <t>Абрамова</t>
  </si>
  <si>
    <t>Константиновна</t>
  </si>
  <si>
    <t>Батура</t>
  </si>
  <si>
    <t>Алексеевич</t>
  </si>
  <si>
    <t>Абрамов</t>
  </si>
  <si>
    <t>Андрей</t>
  </si>
  <si>
    <t>Игоревич</t>
  </si>
  <si>
    <t>Брагута</t>
  </si>
  <si>
    <t>Викторович</t>
  </si>
  <si>
    <t>Воробьев</t>
  </si>
  <si>
    <t>Леонид</t>
  </si>
  <si>
    <t>Беляков</t>
  </si>
  <si>
    <t>Тимофей</t>
  </si>
  <si>
    <t>Андреева</t>
  </si>
  <si>
    <t>Агамалян</t>
  </si>
  <si>
    <t>Саркис</t>
  </si>
  <si>
    <t>Богославский</t>
  </si>
  <si>
    <t>Родион</t>
  </si>
  <si>
    <t>Станиславович</t>
  </si>
  <si>
    <t>Антропова</t>
  </si>
  <si>
    <t>Софья</t>
  </si>
  <si>
    <t>Дмитриевна</t>
  </si>
  <si>
    <t>Воронцова</t>
  </si>
  <si>
    <t>Алиса</t>
  </si>
  <si>
    <t>Галкин</t>
  </si>
  <si>
    <t>Михаил</t>
  </si>
  <si>
    <t>Ярославович</t>
  </si>
  <si>
    <t>Боттаева</t>
  </si>
  <si>
    <t>Элина</t>
  </si>
  <si>
    <t>Арсеновна</t>
  </si>
  <si>
    <t>Астанин</t>
  </si>
  <si>
    <t>Анчы</t>
  </si>
  <si>
    <t>Владимир</t>
  </si>
  <si>
    <t>Вячеславович</t>
  </si>
  <si>
    <t>Бондаренко</t>
  </si>
  <si>
    <t>Белякова</t>
  </si>
  <si>
    <t>Анастасия</t>
  </si>
  <si>
    <t>Артемовна</t>
  </si>
  <si>
    <t>Горбунов</t>
  </si>
  <si>
    <t>Демид</t>
  </si>
  <si>
    <t>Демина</t>
  </si>
  <si>
    <t>Анна</t>
  </si>
  <si>
    <t>Андреевна</t>
  </si>
  <si>
    <t>Васильев</t>
  </si>
  <si>
    <t>Пётр</t>
  </si>
  <si>
    <t>Астудийо</t>
  </si>
  <si>
    <t>Даниэль</t>
  </si>
  <si>
    <t>Рамилевич</t>
  </si>
  <si>
    <t>Аслаханов</t>
  </si>
  <si>
    <t>Адлан</t>
  </si>
  <si>
    <t>Асламбекович</t>
  </si>
  <si>
    <t>Глинкин</t>
  </si>
  <si>
    <t>Вячеслав</t>
  </si>
  <si>
    <t>Будаев</t>
  </si>
  <si>
    <t>Тимур</t>
  </si>
  <si>
    <t>Баторович</t>
  </si>
  <si>
    <t>Григоращенко</t>
  </si>
  <si>
    <t>Алексей</t>
  </si>
  <si>
    <t>Егорычев</t>
  </si>
  <si>
    <t>Даниил</t>
  </si>
  <si>
    <t>Ильич</t>
  </si>
  <si>
    <t>Вронская</t>
  </si>
  <si>
    <t>Вероника</t>
  </si>
  <si>
    <t>Владиславовна</t>
  </si>
  <si>
    <t>Гладких</t>
  </si>
  <si>
    <t>Максим</t>
  </si>
  <si>
    <t>Бова</t>
  </si>
  <si>
    <t>Ульяна</t>
  </si>
  <si>
    <t>Алексеевна</t>
  </si>
  <si>
    <t>Горячева</t>
  </si>
  <si>
    <t>Юрьевич</t>
  </si>
  <si>
    <t>Грицук</t>
  </si>
  <si>
    <t>Еремкин</t>
  </si>
  <si>
    <t>Константин</t>
  </si>
  <si>
    <t>Сергеевич</t>
  </si>
  <si>
    <t>Деречинский</t>
  </si>
  <si>
    <t>Степан</t>
  </si>
  <si>
    <t>Денисович</t>
  </si>
  <si>
    <t>Грушихин</t>
  </si>
  <si>
    <t>Сергей</t>
  </si>
  <si>
    <t>Борисов</t>
  </si>
  <si>
    <t>Павлович</t>
  </si>
  <si>
    <t>Жарова</t>
  </si>
  <si>
    <t>Гобеев</t>
  </si>
  <si>
    <t>Алихан</t>
  </si>
  <si>
    <t>Владиславович</t>
  </si>
  <si>
    <t>Евсеева</t>
  </si>
  <si>
    <t>Елизавета</t>
  </si>
  <si>
    <t>Иванов</t>
  </si>
  <si>
    <t>Никита</t>
  </si>
  <si>
    <t>Исланов</t>
  </si>
  <si>
    <t>Амин</t>
  </si>
  <si>
    <t>Русланович</t>
  </si>
  <si>
    <t>Гурушкин</t>
  </si>
  <si>
    <t>Бочарский</t>
  </si>
  <si>
    <t>Григорий</t>
  </si>
  <si>
    <t>Константинович</t>
  </si>
  <si>
    <t>Калинин</t>
  </si>
  <si>
    <t>Кирилл</t>
  </si>
  <si>
    <t>Давыдов</t>
  </si>
  <si>
    <t>Дмитрий</t>
  </si>
  <si>
    <t>Олегович</t>
  </si>
  <si>
    <t>Захаров</t>
  </si>
  <si>
    <t>Дмитриевич</t>
  </si>
  <si>
    <t>Капитанов</t>
  </si>
  <si>
    <t>Антон</t>
  </si>
  <si>
    <t>Петрович</t>
  </si>
  <si>
    <t>Ишкин</t>
  </si>
  <si>
    <t>Артём</t>
  </si>
  <si>
    <t>Кацаров</t>
  </si>
  <si>
    <t>Роберт</t>
  </si>
  <si>
    <t>Димитров</t>
  </si>
  <si>
    <t>Анатольевич</t>
  </si>
  <si>
    <t>Кошелев</t>
  </si>
  <si>
    <t>Николай</t>
  </si>
  <si>
    <t>Деденёв</t>
  </si>
  <si>
    <t>Зотов</t>
  </si>
  <si>
    <t>Савелий</t>
  </si>
  <si>
    <t>Капустин</t>
  </si>
  <si>
    <t>Роман</t>
  </si>
  <si>
    <t>Караулов</t>
  </si>
  <si>
    <t>Максимович</t>
  </si>
  <si>
    <t>Клековкин</t>
  </si>
  <si>
    <t>Владислав</t>
  </si>
  <si>
    <t>Вдовина</t>
  </si>
  <si>
    <t>Марина</t>
  </si>
  <si>
    <t>Кузнецова</t>
  </si>
  <si>
    <t>Павловна</t>
  </si>
  <si>
    <t>Жуков</t>
  </si>
  <si>
    <t>Игорь</t>
  </si>
  <si>
    <t>Ивочкин</t>
  </si>
  <si>
    <t>Коноплев</t>
  </si>
  <si>
    <t>Картал</t>
  </si>
  <si>
    <t>Боян</t>
  </si>
  <si>
    <t>Бранкович</t>
  </si>
  <si>
    <t>Кочетков</t>
  </si>
  <si>
    <t>Власенков</t>
  </si>
  <si>
    <t>Магомедэминов</t>
  </si>
  <si>
    <t>Вадимович</t>
  </si>
  <si>
    <t>Карташев</t>
  </si>
  <si>
    <t>Матвей</t>
  </si>
  <si>
    <t>Евгеньевич</t>
  </si>
  <si>
    <t>Арина</t>
  </si>
  <si>
    <t>Михайловна</t>
  </si>
  <si>
    <t>Коновалов</t>
  </si>
  <si>
    <t>Васильевич</t>
  </si>
  <si>
    <t>Криушин</t>
  </si>
  <si>
    <t>Воронков</t>
  </si>
  <si>
    <t>Моисеев</t>
  </si>
  <si>
    <t>Ибрагимова</t>
  </si>
  <si>
    <t>Саида</t>
  </si>
  <si>
    <t>Магомедовна</t>
  </si>
  <si>
    <t>Кленов</t>
  </si>
  <si>
    <t>Лубенец</t>
  </si>
  <si>
    <t>Косицын</t>
  </si>
  <si>
    <t>Василий</t>
  </si>
  <si>
    <t>Иванович</t>
  </si>
  <si>
    <t>Ласточкин</t>
  </si>
  <si>
    <t>Гайдадина</t>
  </si>
  <si>
    <t>Наташкин</t>
  </si>
  <si>
    <t>Евгений</t>
  </si>
  <si>
    <t>Ким</t>
  </si>
  <si>
    <t>Ванэсса</t>
  </si>
  <si>
    <t>Кирилловна</t>
  </si>
  <si>
    <t>Комин</t>
  </si>
  <si>
    <t>Вадим</t>
  </si>
  <si>
    <t>Николаевич</t>
  </si>
  <si>
    <t>Макейчук</t>
  </si>
  <si>
    <t>Владислава</t>
  </si>
  <si>
    <t>Юрьевна</t>
  </si>
  <si>
    <t>Лазарев</t>
  </si>
  <si>
    <t>Левиков</t>
  </si>
  <si>
    <t>Гордеева</t>
  </si>
  <si>
    <t>Остроушко</t>
  </si>
  <si>
    <t>Витальевич</t>
  </si>
  <si>
    <t>Лапшин</t>
  </si>
  <si>
    <t>Михайлович</t>
  </si>
  <si>
    <t>Коротеев</t>
  </si>
  <si>
    <t>Семён</t>
  </si>
  <si>
    <t>Романович</t>
  </si>
  <si>
    <t>Муртазин</t>
  </si>
  <si>
    <t>Амир</t>
  </si>
  <si>
    <t>Тимурович</t>
  </si>
  <si>
    <t>Лепёхин</t>
  </si>
  <si>
    <t>Фёдор</t>
  </si>
  <si>
    <t>Ловчиков</t>
  </si>
  <si>
    <t>Станислав</t>
  </si>
  <si>
    <t>Ирина</t>
  </si>
  <si>
    <t>Игоревна</t>
  </si>
  <si>
    <t>Панькина</t>
  </si>
  <si>
    <t>Евгеньевна</t>
  </si>
  <si>
    <t>Ли</t>
  </si>
  <si>
    <t>Инна</t>
  </si>
  <si>
    <t>Гуаншэновна</t>
  </si>
  <si>
    <t>Кучеев</t>
  </si>
  <si>
    <t>Никишин</t>
  </si>
  <si>
    <t>Лопатин</t>
  </si>
  <si>
    <t>Мелкумян</t>
  </si>
  <si>
    <t>Нарек</t>
  </si>
  <si>
    <t>Норайрович</t>
  </si>
  <si>
    <t>Зарипов</t>
  </si>
  <si>
    <t>Мурат</t>
  </si>
  <si>
    <t>Равилевич</t>
  </si>
  <si>
    <t>Пешков</t>
  </si>
  <si>
    <t>Лилье</t>
  </si>
  <si>
    <t>Луцик</t>
  </si>
  <si>
    <t>Озерков</t>
  </si>
  <si>
    <t>Нуриманов</t>
  </si>
  <si>
    <t>Арсен</t>
  </si>
  <si>
    <t>Рустамович</t>
  </si>
  <si>
    <t>Митюков</t>
  </si>
  <si>
    <t>Кольчугин</t>
  </si>
  <si>
    <t>Подойникова</t>
  </si>
  <si>
    <t>Людмила</t>
  </si>
  <si>
    <t>Лысов</t>
  </si>
  <si>
    <t>Денис</t>
  </si>
  <si>
    <t>Мамбетов</t>
  </si>
  <si>
    <t>Егор</t>
  </si>
  <si>
    <t>Печенкин</t>
  </si>
  <si>
    <t>Потёмкин</t>
  </si>
  <si>
    <t>Мухин</t>
  </si>
  <si>
    <t>Кравченко</t>
  </si>
  <si>
    <t>Рагимов</t>
  </si>
  <si>
    <t>Артур</t>
  </si>
  <si>
    <t>Велиметович</t>
  </si>
  <si>
    <t>Невмянов</t>
  </si>
  <si>
    <t>Илдарович</t>
  </si>
  <si>
    <t>Парахин</t>
  </si>
  <si>
    <t>Севастьян</t>
  </si>
  <si>
    <t>Леонидович</t>
  </si>
  <si>
    <t>Плотникова</t>
  </si>
  <si>
    <t>Таисия</t>
  </si>
  <si>
    <t>Сергеевна</t>
  </si>
  <si>
    <t>Прохачев</t>
  </si>
  <si>
    <t>Остапченко</t>
  </si>
  <si>
    <t>Нагорная</t>
  </si>
  <si>
    <t>Полина</t>
  </si>
  <si>
    <t>Романовна</t>
  </si>
  <si>
    <t>Родионова</t>
  </si>
  <si>
    <t>Варвара</t>
  </si>
  <si>
    <t>Поликарпова</t>
  </si>
  <si>
    <t>Викторовна</t>
  </si>
  <si>
    <t>Пивень</t>
  </si>
  <si>
    <t>Плохих</t>
  </si>
  <si>
    <t>Сазонова</t>
  </si>
  <si>
    <t>Карина</t>
  </si>
  <si>
    <t>Эдуардовна</t>
  </si>
  <si>
    <t>Подлесных</t>
  </si>
  <si>
    <t>Пархут</t>
  </si>
  <si>
    <t>София</t>
  </si>
  <si>
    <t>Семиненко</t>
  </si>
  <si>
    <t>Польский</t>
  </si>
  <si>
    <t>Пилипенко</t>
  </si>
  <si>
    <t>Родионов</t>
  </si>
  <si>
    <t>Соколова</t>
  </si>
  <si>
    <t>Эллис</t>
  </si>
  <si>
    <t>Геннадьевна</t>
  </si>
  <si>
    <t>Ржевская</t>
  </si>
  <si>
    <t>Садовский</t>
  </si>
  <si>
    <t>Валентинович</t>
  </si>
  <si>
    <t>Стародубцев</t>
  </si>
  <si>
    <t>Лев</t>
  </si>
  <si>
    <t>Саркисов</t>
  </si>
  <si>
    <t>Ованесович</t>
  </si>
  <si>
    <t>Прядкин</t>
  </si>
  <si>
    <t>Федорова</t>
  </si>
  <si>
    <t>Солодилов</t>
  </si>
  <si>
    <t>Рогова</t>
  </si>
  <si>
    <t>Василиса</t>
  </si>
  <si>
    <t>Сизенков</t>
  </si>
  <si>
    <t>Сулаев</t>
  </si>
  <si>
    <t>Аркадьевич</t>
  </si>
  <si>
    <t>Слободян</t>
  </si>
  <si>
    <t>Леонтий</t>
  </si>
  <si>
    <t>Тиманова</t>
  </si>
  <si>
    <t>Эльвина</t>
  </si>
  <si>
    <t>Абдулбариевна</t>
  </si>
  <si>
    <t>Холкина</t>
  </si>
  <si>
    <t>Тюрина</t>
  </si>
  <si>
    <t>Злата</t>
  </si>
  <si>
    <t>Смирнов</t>
  </si>
  <si>
    <t>Стадник</t>
  </si>
  <si>
    <t>Дарья</t>
  </si>
  <si>
    <t>Владимировна</t>
  </si>
  <si>
    <t>Тимошенко</t>
  </si>
  <si>
    <t>Геннадьевич</t>
  </si>
  <si>
    <t>Сюткина</t>
  </si>
  <si>
    <t>Руслана</t>
  </si>
  <si>
    <t>Туровский</t>
  </si>
  <si>
    <t>Георгиевич</t>
  </si>
  <si>
    <t>Христианов</t>
  </si>
  <si>
    <t>Христасович</t>
  </si>
  <si>
    <t>Фахрутдинов</t>
  </si>
  <si>
    <t>Рафаэлевич</t>
  </si>
  <si>
    <t>Солодов</t>
  </si>
  <si>
    <t>Старченко</t>
  </si>
  <si>
    <t>Феськов</t>
  </si>
  <si>
    <t>Антонович</t>
  </si>
  <si>
    <t>Уликанов</t>
  </si>
  <si>
    <t>Марселевич</t>
  </si>
  <si>
    <t>Федяков</t>
  </si>
  <si>
    <t>Григорьевич</t>
  </si>
  <si>
    <t>Чернышёва</t>
  </si>
  <si>
    <t>Анатольевна</t>
  </si>
  <si>
    <t>Хотнянский</t>
  </si>
  <si>
    <t>Тощенкова</t>
  </si>
  <si>
    <t>Валерия</t>
  </si>
  <si>
    <t>Столяров</t>
  </si>
  <si>
    <t>Христочевская</t>
  </si>
  <si>
    <t>Ксения</t>
  </si>
  <si>
    <t>Фирсов</t>
  </si>
  <si>
    <t>Кириллович</t>
  </si>
  <si>
    <t>Хитров</t>
  </si>
  <si>
    <t>Шведов</t>
  </si>
  <si>
    <t>Ча</t>
  </si>
  <si>
    <t>Кира</t>
  </si>
  <si>
    <t>Фоменко</t>
  </si>
  <si>
    <t>Туктаров</t>
  </si>
  <si>
    <t>Челпых</t>
  </si>
  <si>
    <t>Виктория</t>
  </si>
  <si>
    <t>Эльвировна</t>
  </si>
  <si>
    <t>Цгоев</t>
  </si>
  <si>
    <t>Заурбек</t>
  </si>
  <si>
    <t>Иристонович</t>
  </si>
  <si>
    <t>Шемет</t>
  </si>
  <si>
    <t>Шибитов</t>
  </si>
  <si>
    <t>Лукьян</t>
  </si>
  <si>
    <t>Черенов</t>
  </si>
  <si>
    <t>Хасанов</t>
  </si>
  <si>
    <t>Артурович</t>
  </si>
  <si>
    <t>Черноморец</t>
  </si>
  <si>
    <t>Олег</t>
  </si>
  <si>
    <t>Чернов</t>
  </si>
  <si>
    <t>Шаяхметов</t>
  </si>
  <si>
    <t>Булат</t>
  </si>
  <si>
    <t>Шумак</t>
  </si>
  <si>
    <t>Юсупов</t>
  </si>
  <si>
    <t>Салман</t>
  </si>
  <si>
    <t>Шишкарев</t>
  </si>
  <si>
    <t>Чудакова</t>
  </si>
  <si>
    <t>Шапкин</t>
  </si>
  <si>
    <t>Шепурев</t>
  </si>
  <si>
    <t>Шохин</t>
  </si>
  <si>
    <t>№</t>
  </si>
  <si>
    <t>Вариант</t>
  </si>
  <si>
    <t>Подгруппа</t>
  </si>
  <si>
    <t>Фамилия</t>
  </si>
  <si>
    <t>Имя</t>
  </si>
  <si>
    <t>баллы за лаб.раб.</t>
  </si>
  <si>
    <t>семинары</t>
  </si>
  <si>
    <t>лекции</t>
  </si>
  <si>
    <t>текущ за модуль</t>
  </si>
  <si>
    <t>округл за модуль</t>
  </si>
  <si>
    <t>Дата</t>
  </si>
  <si>
    <t>Б</t>
  </si>
  <si>
    <t xml:space="preserve">сумма </t>
  </si>
  <si>
    <t>сумма</t>
  </si>
  <si>
    <t>максимальный балл</t>
  </si>
  <si>
    <r>
      <t xml:space="preserve">формулы / </t>
    </r>
    <r>
      <rPr>
        <b/>
        <sz val="12"/>
        <rFont val="Times New Roman"/>
      </rPr>
      <t>вес</t>
    </r>
  </si>
  <si>
    <t>В приведённых баллах</t>
  </si>
  <si>
    <t>Кол-во отсутствующих</t>
  </si>
  <si>
    <r>
      <rPr>
        <b/>
        <u/>
        <sz val="11"/>
        <color indexed="62"/>
        <rFont val="Arial Cyr"/>
      </rPr>
      <t>n</t>
    </r>
    <r>
      <rPr>
        <sz val="11"/>
        <rFont val="Arial Cyr"/>
      </rPr>
      <t xml:space="preserve"> - Управляющие значения</t>
    </r>
  </si>
  <si>
    <t>На семинарах</t>
  </si>
  <si>
    <t>На лекциях</t>
  </si>
  <si>
    <t>DeadLine 1 подгруппа</t>
  </si>
  <si>
    <t>DeadLine 2 подгруппа</t>
  </si>
  <si>
    <t>Розыкулыев</t>
  </si>
  <si>
    <t>Дияр</t>
  </si>
  <si>
    <t>Рустамович</t>
  </si>
  <si>
    <t>Гришук</t>
  </si>
  <si>
    <t>Илья</t>
  </si>
  <si>
    <t>Александрович</t>
  </si>
  <si>
    <t>Глинкин</t>
  </si>
  <si>
    <t>Вячеслав</t>
  </si>
  <si>
    <t>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</si>
</sst>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/m"/>
    <numFmt numFmtId="165" formatCode="d/m;@"/>
    <numFmt numFmtId="166" formatCode="[$-F800]dddd\,\ mmmm\ dd\,\ yyyy"/>
    <numFmt numFmtId="167" formatCode="dd\.mm\.yyyy"/>
    <numFmt numFmtId="168" formatCode="0.0"/>
  </numFmts>
  <fonts count="27">
    <font>
      <sz val="10"/>
      <color theme="1"/>
      <name val="Arimo"/>
    </font>
    <font>
      <sz val="10"/>
      <name val="Arimo"/>
    </font>
    <font>
      <b/>
      <u/>
      <sz val="11"/>
      <color indexed="18"/>
      <name val="Arial"/>
    </font>
    <font>
      <b/>
      <u/>
      <sz val="11"/>
      <color indexed="18"/>
      <name val="Arimo"/>
    </font>
    <font>
      <b/>
      <u/>
      <sz val="10"/>
      <color indexed="18"/>
      <name val="Arimo"/>
    </font>
    <font>
      <b/>
      <u/>
      <sz val="11"/>
      <color rgb="FF002060"/>
      <name val="Arial"/>
    </font>
    <font>
      <b/>
      <u/>
      <sz val="11"/>
      <color indexed="2"/>
      <name val="Arial"/>
    </font>
    <font>
      <b/>
      <sz val="10"/>
      <color indexed="2"/>
      <name val="Arimo"/>
    </font>
    <font>
      <sz val="12"/>
      <color theme="1"/>
      <name val="Times New Roman"/>
    </font>
    <font>
      <sz val="12"/>
      <name val="Times New Roman"/>
    </font>
    <font>
      <sz val="11"/>
      <name val="Arial"/>
    </font>
    <font>
      <sz val="12"/>
      <name val="Calibri"/>
    </font>
    <font>
      <b/>
      <sz val="12"/>
      <name val="Calibri"/>
    </font>
    <font>
      <sz val="10"/>
      <name val="Arial"/>
    </font>
    <font>
      <sz val="12"/>
      <color indexed="63"/>
      <name val="Times New Roman"/>
    </font>
    <font>
      <sz val="11"/>
      <name val="Arimo"/>
    </font>
    <font>
      <b/>
      <u/>
      <sz val="11"/>
      <color indexed="62"/>
      <name val="Arimo"/>
    </font>
    <font>
      <b/>
      <u/>
      <sz val="11"/>
      <color indexed="62"/>
      <name val="Arial"/>
    </font>
    <font>
      <b/>
      <sz val="11"/>
      <name val="Arial"/>
    </font>
    <font>
      <b/>
      <sz val="11"/>
      <name val="Arimo"/>
    </font>
    <font>
      <sz val="11"/>
      <color indexed="20"/>
      <name val="Arimo"/>
    </font>
    <font>
      <b/>
      <sz val="10"/>
      <color indexed="28"/>
      <name val="Arimo"/>
    </font>
    <font>
      <sz val="10"/>
      <color indexed="2"/>
      <name val="Arimo"/>
    </font>
    <font>
      <sz val="10"/>
      <name val="Calibri"/>
    </font>
    <font>
      <b/>
      <sz val="12"/>
      <name val="Times New Roman"/>
    </font>
    <font>
      <b/>
      <u/>
      <sz val="11"/>
      <color indexed="62"/>
      <name val="Arial Cyr"/>
    </font>
    <font>
      <sz val="11"/>
      <name val="Arial Cyr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  <bgColor theme="0"/>
      </patternFill>
    </fill>
  </fills>
  <borders count="100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23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7F7F7F"/>
      </left>
      <right/>
      <top style="thin">
        <color auto="1"/>
      </top>
      <bottom style="thin">
        <color auto="1"/>
      </bottom>
      <diagonal/>
    </border>
    <border>
      <left/>
      <right style="medium">
        <color indexed="23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23"/>
      </bottom>
      <diagonal/>
    </border>
    <border>
      <left style="thin">
        <color auto="1"/>
      </left>
      <right/>
      <top/>
      <bottom style="medium">
        <color indexed="23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23"/>
      </left>
      <right style="thin">
        <color auto="1"/>
      </right>
      <top style="thin">
        <color auto="1"/>
      </top>
      <bottom style="medium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23"/>
      </bottom>
      <diagonal/>
    </border>
    <border>
      <left style="thin">
        <color auto="1"/>
      </left>
      <right style="medium">
        <color indexed="23"/>
      </right>
      <top style="thin">
        <color auto="1"/>
      </top>
      <bottom style="medium">
        <color indexed="23"/>
      </bottom>
      <diagonal/>
    </border>
    <border>
      <left style="thin">
        <color auto="1"/>
      </left>
      <right/>
      <top style="thin">
        <color auto="1"/>
      </top>
      <bottom style="medium">
        <color indexed="23"/>
      </bottom>
      <diagonal/>
    </border>
    <border>
      <left style="medium">
        <color auto="1"/>
      </left>
      <right style="medium">
        <color auto="1"/>
      </right>
      <top/>
      <bottom style="medium">
        <color indexed="23"/>
      </bottom>
      <diagonal/>
    </border>
    <border>
      <left/>
      <right style="thick">
        <color auto="1"/>
      </right>
      <top/>
      <bottom style="medium">
        <color indexed="23"/>
      </bottom>
      <diagonal/>
    </border>
    <border>
      <left style="medium">
        <color rgb="FF7F7F7F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medium">
        <color rgb="FF7F7F7F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23"/>
      </top>
      <bottom style="thin">
        <color auto="1"/>
      </bottom>
      <diagonal/>
    </border>
    <border>
      <left/>
      <right/>
      <top style="medium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23"/>
      </top>
      <bottom/>
      <diagonal/>
    </border>
    <border>
      <left style="thin">
        <color auto="1"/>
      </left>
      <right style="medium">
        <color indexed="23"/>
      </right>
      <top/>
      <bottom style="thin">
        <color auto="1"/>
      </bottom>
      <diagonal/>
    </border>
    <border>
      <left style="medium">
        <color indexed="23"/>
      </left>
      <right style="thin">
        <color auto="1"/>
      </right>
      <top style="medium">
        <color indexed="2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23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23"/>
      </left>
      <right style="thin">
        <color auto="1"/>
      </right>
      <top style="medium">
        <color indexed="23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medium">
        <color indexed="23"/>
      </bottom>
      <diagonal/>
    </border>
    <border>
      <left/>
      <right style="medium">
        <color indexed="23"/>
      </right>
      <top style="thick">
        <color auto="1"/>
      </top>
      <bottom style="medium">
        <color indexed="23"/>
      </bottom>
      <diagonal/>
    </border>
    <border>
      <left style="medium">
        <color indexed="23"/>
      </left>
      <right style="dotted">
        <color auto="1"/>
      </right>
      <top style="thick">
        <color auto="1"/>
      </top>
      <bottom style="medium">
        <color indexed="23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medium">
        <color indexed="23"/>
      </bottom>
      <diagonal/>
    </border>
    <border>
      <left style="medium">
        <color indexed="23"/>
      </left>
      <right style="thin">
        <color auto="1"/>
      </right>
      <top style="thick">
        <color auto="1"/>
      </top>
      <bottom style="medium">
        <color indexed="23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indexed="23"/>
      </bottom>
      <diagonal/>
    </border>
    <border>
      <left style="medium">
        <color indexed="23"/>
      </left>
      <right style="thin">
        <color auto="1"/>
      </right>
      <top/>
      <bottom style="medium">
        <color indexed="23"/>
      </bottom>
      <diagonal/>
    </border>
    <border>
      <left style="thin">
        <color auto="1"/>
      </left>
      <right style="medium">
        <color indexed="23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indexed="23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indexed="23"/>
      </top>
      <bottom style="medium">
        <color indexed="23"/>
      </bottom>
      <diagonal/>
    </border>
    <border>
      <left/>
      <right style="thin">
        <color auto="1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 style="thin">
        <color auto="1"/>
      </left>
      <right/>
      <top style="medium">
        <color indexed="23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indexed="23"/>
      </top>
      <bottom style="medium">
        <color auto="1"/>
      </bottom>
      <diagonal/>
    </border>
    <border>
      <left/>
      <right/>
      <top style="medium">
        <color indexed="23"/>
      </top>
      <bottom style="medium">
        <color auto="1"/>
      </bottom>
      <diagonal/>
    </border>
    <border>
      <left style="medium">
        <color auto="1"/>
      </left>
      <right/>
      <top style="medium">
        <color indexed="23"/>
      </top>
      <bottom style="medium">
        <color auto="1"/>
      </bottom>
      <diagonal/>
    </border>
    <border>
      <left/>
      <right style="thin">
        <color auto="1"/>
      </right>
      <top style="medium">
        <color indexed="23"/>
      </top>
      <bottom style="medium">
        <color auto="1"/>
      </bottom>
      <diagonal/>
    </border>
    <border>
      <left/>
      <right style="thin">
        <color auto="1"/>
      </right>
      <top style="medium">
        <color indexed="23"/>
      </top>
      <bottom/>
      <diagonal/>
    </border>
    <border>
      <left/>
      <right style="medium">
        <color auto="1"/>
      </right>
      <top style="medium">
        <color indexed="23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indexed="23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indexed="2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indexed="23"/>
      </top>
      <bottom style="medium">
        <color auto="1"/>
      </bottom>
      <diagonal/>
    </border>
    <border>
      <left/>
      <right style="thick">
        <color auto="1"/>
      </right>
      <top style="medium">
        <color indexed="23"/>
      </top>
      <bottom style="medium">
        <color auto="1"/>
      </bottom>
      <diagonal/>
    </border>
    <border>
      <left/>
      <right style="medium">
        <color indexed="28"/>
      </right>
      <top/>
      <bottom/>
      <diagonal/>
    </border>
    <border>
      <left style="medium">
        <color indexed="28"/>
      </left>
      <right style="medium">
        <color indexed="28"/>
      </right>
      <top/>
      <bottom style="medium">
        <color indexed="28"/>
      </bottom>
      <diagonal/>
    </border>
    <border>
      <left style="medium">
        <color indexed="28"/>
      </left>
      <right/>
      <top/>
      <bottom style="medium">
        <color indexed="2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28"/>
      </left>
      <right style="medium">
        <color indexed="28"/>
      </right>
      <top style="medium">
        <color indexed="28"/>
      </top>
      <bottom style="medium">
        <color indexed="28"/>
      </bottom>
      <diagonal/>
    </border>
    <border>
      <left style="medium">
        <color indexed="28"/>
      </left>
      <right/>
      <top style="medium">
        <color indexed="28"/>
      </top>
      <bottom style="medium">
        <color indexed="2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28"/>
      </left>
      <right style="medium">
        <color indexed="28"/>
      </right>
      <top style="medium">
        <color indexed="28"/>
      </top>
      <bottom/>
      <diagonal/>
    </border>
    <border>
      <left style="medium">
        <color indexed="28"/>
      </left>
      <right/>
      <top style="medium">
        <color indexed="28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09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0" fontId="3" fillId="0" borderId="0" xfId="0" applyFont="1" applyAlignment="1">
      <alignment horizontal="center"/>
    </xf>
    <xf numFmtId="9" fontId="1" fillId="0" borderId="0" xfId="0" applyNumberFormat="1" applyFont="1" applyAlignme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/>
    <xf numFmtId="9" fontId="2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7" fontId="0" fillId="0" borderId="0" xfId="0" applyNumberFormat="1" applyAlignment="1"/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left"/>
    </xf>
    <xf numFmtId="0" fontId="9" fillId="0" borderId="3" xfId="0" applyFont="1" applyBorder="1" applyAlignment="1"/>
    <xf numFmtId="0" fontId="9" fillId="0" borderId="1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9" fillId="0" borderId="0" xfId="0" applyFont="1" applyAlignment="1">
      <alignment horizontal="right"/>
    </xf>
    <xf numFmtId="0" fontId="9" fillId="0" borderId="13" xfId="0" applyFont="1" applyBorder="1" applyAlignment="1"/>
    <xf numFmtId="0" fontId="9" fillId="0" borderId="14" xfId="0" applyFont="1" applyBorder="1" applyAlignment="1">
      <alignment wrapText="1"/>
    </xf>
    <xf numFmtId="0" fontId="12" fillId="0" borderId="0" xfId="0" applyFont="1" applyAlignment="1">
      <alignment horizontal="center"/>
    </xf>
    <xf numFmtId="0" fontId="13" fillId="0" borderId="0" xfId="0" applyFont="1" applyAlignment="1"/>
    <xf numFmtId="0" fontId="0" fillId="0" borderId="0" xfId="0" applyAlignment="1"/>
    <xf numFmtId="0" fontId="13" fillId="2" borderId="0" xfId="0" applyFont="1" applyFill="1" applyAlignment="1"/>
    <xf numFmtId="0" fontId="11" fillId="0" borderId="15" xfId="0" applyFont="1" applyBorder="1" applyAlignment="1"/>
    <xf numFmtId="0" fontId="8" fillId="0" borderId="14" xfId="0" applyFont="1" applyBorder="1" applyAlignment="1">
      <alignment wrapText="1"/>
    </xf>
    <xf numFmtId="0" fontId="14" fillId="0" borderId="0" xfId="0" applyFont="1" applyAlignment="1"/>
    <xf numFmtId="0" fontId="0" fillId="0" borderId="0" xfId="0" applyAlignment="1">
      <alignment vertical="center"/>
    </xf>
    <xf numFmtId="0" fontId="1" fillId="0" borderId="0" xfId="0" applyFont="1" applyAlignment="1">
      <alignment shrinkToFit="1"/>
    </xf>
    <xf numFmtId="0" fontId="1" fillId="0" borderId="19" xfId="0" applyFont="1" applyBorder="1" applyAlignment="1"/>
    <xf numFmtId="0" fontId="15" fillId="0" borderId="18" xfId="0" applyFont="1" applyBorder="1" applyAlignment="1"/>
    <xf numFmtId="0" fontId="15" fillId="0" borderId="19" xfId="0" applyFont="1" applyBorder="1" applyAlignment="1"/>
    <xf numFmtId="0" fontId="15" fillId="0" borderId="21" xfId="0" applyFont="1" applyBorder="1" applyAlignment="1"/>
    <xf numFmtId="0" fontId="1" fillId="0" borderId="21" xfId="0" applyFont="1" applyBorder="1" applyAlignment="1"/>
    <xf numFmtId="0" fontId="1" fillId="0" borderId="18" xfId="0" applyFont="1" applyBorder="1" applyAlignment="1"/>
    <xf numFmtId="1" fontId="1" fillId="0" borderId="30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164" fontId="10" fillId="3" borderId="38" xfId="0" applyNumberFormat="1" applyFont="1" applyFill="1" applyBorder="1" applyAlignment="1">
      <alignment horizontal="center"/>
    </xf>
    <xf numFmtId="168" fontId="10" fillId="3" borderId="39" xfId="0" applyNumberFormat="1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168" fontId="0" fillId="0" borderId="3" xfId="0" applyNumberFormat="1" applyBorder="1" applyAlignment="1">
      <alignment vertical="center"/>
    </xf>
    <xf numFmtId="168" fontId="15" fillId="0" borderId="40" xfId="0" applyNumberFormat="1" applyFont="1" applyBorder="1" applyAlignment="1">
      <alignment shrinkToFit="1"/>
    </xf>
    <xf numFmtId="168" fontId="10" fillId="0" borderId="42" xfId="0" applyNumberFormat="1" applyFont="1" applyBorder="1" applyAlignment="1">
      <alignment vertical="center"/>
    </xf>
    <xf numFmtId="168" fontId="10" fillId="0" borderId="40" xfId="0" applyNumberFormat="1" applyFont="1" applyBorder="1" applyAlignment="1"/>
    <xf numFmtId="2" fontId="15" fillId="0" borderId="43" xfId="0" applyNumberFormat="1" applyFont="1" applyBorder="1" applyAlignment="1">
      <alignment horizontal="center" shrinkToFit="1"/>
    </xf>
    <xf numFmtId="168" fontId="15" fillId="0" borderId="44" xfId="0" applyNumberFormat="1" applyFont="1" applyBorder="1" applyAlignment="1">
      <alignment shrinkToFit="1"/>
    </xf>
    <xf numFmtId="168" fontId="15" fillId="0" borderId="42" xfId="0" applyNumberFormat="1" applyFont="1" applyBorder="1" applyAlignment="1">
      <alignment shrinkToFit="1"/>
    </xf>
    <xf numFmtId="168" fontId="15" fillId="0" borderId="45" xfId="0" applyNumberFormat="1" applyFont="1" applyBorder="1" applyAlignment="1">
      <alignment shrinkToFit="1"/>
    </xf>
    <xf numFmtId="2" fontId="15" fillId="0" borderId="45" xfId="0" applyNumberFormat="1" applyFont="1" applyBorder="1" applyAlignment="1">
      <alignment shrinkToFit="1"/>
    </xf>
    <xf numFmtId="2" fontId="15" fillId="0" borderId="46" xfId="0" applyNumberFormat="1" applyFont="1" applyBorder="1" applyAlignment="1">
      <alignment horizontal="center" shrinkToFit="1"/>
    </xf>
    <xf numFmtId="2" fontId="15" fillId="0" borderId="47" xfId="0" applyNumberFormat="1" applyFont="1" applyBorder="1" applyAlignment="1">
      <alignment horizontal="center"/>
    </xf>
    <xf numFmtId="1" fontId="15" fillId="0" borderId="48" xfId="0" applyNumberFormat="1" applyFont="1" applyBorder="1" applyAlignment="1">
      <alignment horizontal="center"/>
    </xf>
    <xf numFmtId="168" fontId="15" fillId="0" borderId="41" xfId="0" applyNumberFormat="1" applyFont="1" applyBorder="1" applyAlignment="1">
      <alignment shrinkToFit="1"/>
    </xf>
    <xf numFmtId="168" fontId="15" fillId="0" borderId="49" xfId="0" applyNumberFormat="1" applyFont="1" applyBorder="1" applyAlignment="1">
      <alignment shrinkToFit="1"/>
    </xf>
    <xf numFmtId="2" fontId="15" fillId="0" borderId="40" xfId="0" applyNumberFormat="1" applyFont="1" applyBorder="1" applyAlignment="1">
      <alignment shrinkToFit="1"/>
    </xf>
    <xf numFmtId="164" fontId="10" fillId="0" borderId="55" xfId="0" applyNumberFormat="1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168" fontId="10" fillId="0" borderId="57" xfId="0" applyNumberFormat="1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1" fontId="10" fillId="0" borderId="59" xfId="0" applyNumberFormat="1" applyFont="1" applyBorder="1" applyAlignment="1">
      <alignment horizontal="center"/>
    </xf>
    <xf numFmtId="0" fontId="16" fillId="0" borderId="60" xfId="0" applyFont="1" applyBorder="1" applyAlignment="1">
      <alignment horizontal="center" shrinkToFit="1"/>
    </xf>
    <xf numFmtId="0" fontId="16" fillId="0" borderId="57" xfId="0" applyFont="1" applyBorder="1" applyAlignment="1">
      <alignment horizontal="center" shrinkToFit="1"/>
    </xf>
    <xf numFmtId="2" fontId="15" fillId="0" borderId="61" xfId="0" applyNumberFormat="1" applyFont="1" applyBorder="1" applyAlignment="1">
      <alignment horizontal="center" shrinkToFit="1"/>
    </xf>
    <xf numFmtId="1" fontId="16" fillId="0" borderId="59" xfId="0" applyNumberFormat="1" applyFont="1" applyBorder="1" applyAlignment="1">
      <alignment horizontal="center" shrinkToFit="1"/>
    </xf>
    <xf numFmtId="2" fontId="15" fillId="0" borderId="62" xfId="0" applyNumberFormat="1" applyFont="1" applyBorder="1" applyAlignment="1">
      <alignment horizontal="center" shrinkToFit="1"/>
    </xf>
    <xf numFmtId="1" fontId="15" fillId="0" borderId="63" xfId="0" applyNumberFormat="1" applyFont="1" applyBorder="1" applyAlignment="1">
      <alignment horizontal="center"/>
    </xf>
    <xf numFmtId="0" fontId="18" fillId="0" borderId="69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/>
    </xf>
    <xf numFmtId="168" fontId="19" fillId="0" borderId="27" xfId="0" applyNumberFormat="1" applyFont="1" applyBorder="1" applyAlignment="1">
      <alignment horizontal="center" vertical="center"/>
    </xf>
    <xf numFmtId="2" fontId="10" fillId="0" borderId="77" xfId="0" applyNumberFormat="1" applyFont="1" applyBorder="1" applyAlignment="1">
      <alignment horizontal="center" vertical="center"/>
    </xf>
    <xf numFmtId="168" fontId="18" fillId="0" borderId="79" xfId="0" applyNumberFormat="1" applyFont="1" applyBorder="1" applyAlignment="1">
      <alignment horizontal="center" vertical="center"/>
    </xf>
    <xf numFmtId="2" fontId="10" fillId="0" borderId="80" xfId="0" applyNumberFormat="1" applyFont="1" applyBorder="1" applyAlignment="1">
      <alignment horizontal="center" vertical="center"/>
    </xf>
    <xf numFmtId="168" fontId="18" fillId="0" borderId="81" xfId="0" applyNumberFormat="1" applyFont="1" applyBorder="1" applyAlignment="1">
      <alignment horizontal="center" vertical="center"/>
    </xf>
    <xf numFmtId="168" fontId="18" fillId="0" borderId="74" xfId="0" applyNumberFormat="1" applyFont="1" applyBorder="1" applyAlignment="1">
      <alignment vertical="center"/>
    </xf>
    <xf numFmtId="168" fontId="15" fillId="0" borderId="82" xfId="0" applyNumberFormat="1" applyFont="1" applyBorder="1" applyAlignment="1">
      <alignment horizontal="center" vertical="center"/>
    </xf>
    <xf numFmtId="168" fontId="19" fillId="0" borderId="83" xfId="0" applyNumberFormat="1" applyFont="1" applyBorder="1" applyAlignment="1">
      <alignment horizontal="center" vertical="center"/>
    </xf>
    <xf numFmtId="168" fontId="1" fillId="0" borderId="0" xfId="0" applyNumberFormat="1" applyFont="1" applyAlignment="1"/>
    <xf numFmtId="164" fontId="20" fillId="0" borderId="85" xfId="0" applyNumberFormat="1" applyFont="1" applyBorder="1" applyAlignment="1">
      <alignment horizontal="center"/>
    </xf>
    <xf numFmtId="164" fontId="20" fillId="0" borderId="86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164" fontId="20" fillId="0" borderId="88" xfId="0" applyNumberFormat="1" applyFont="1" applyBorder="1" applyAlignment="1">
      <alignment horizontal="center"/>
    </xf>
    <xf numFmtId="164" fontId="20" fillId="0" borderId="89" xfId="0" applyNumberFormat="1" applyFont="1" applyBorder="1" applyAlignment="1">
      <alignment horizontal="center"/>
    </xf>
    <xf numFmtId="164" fontId="20" fillId="0" borderId="92" xfId="0" applyNumberFormat="1" applyFont="1" applyBorder="1" applyAlignment="1">
      <alignment horizontal="center"/>
    </xf>
    <xf numFmtId="164" fontId="20" fillId="0" borderId="93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 shrinkToFit="1"/>
    </xf>
    <xf numFmtId="0" fontId="15" fillId="0" borderId="96" xfId="0" applyFont="1" applyBorder="1" applyAlignment="1">
      <alignment horizontal="center" shrinkToFit="1"/>
    </xf>
    <xf numFmtId="0" fontId="21" fillId="0" borderId="0" xfId="0" applyFont="1" applyAlignme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shrinkToFit="1"/>
    </xf>
    <xf numFmtId="0" fontId="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168" fontId="1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23" fillId="0" borderId="0" xfId="0" applyFont="1" applyAlignment="1"/>
    <xf numFmtId="168" fontId="1" fillId="0" borderId="99" xfId="0" applyNumberFormat="1" applyFont="1" applyBorder="1" applyAlignment="1"/>
    <xf numFmtId="166" fontId="4" fillId="0" borderId="0" xfId="0" applyNumberFormat="1" applyFont="1" applyAlignment="1">
      <alignment horizontal="center"/>
    </xf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/>
    <xf numFmtId="0" fontId="9" fillId="0" borderId="5" xfId="0" applyFont="1" applyBorder="1" applyAlignment="1">
      <alignment textRotation="90"/>
    </xf>
    <xf numFmtId="0" fontId="9" fillId="0" borderId="5" xfId="0" applyFont="1" applyBorder="1" applyAlignment="1"/>
    <xf numFmtId="0" fontId="9" fillId="0" borderId="6" xfId="0" applyFont="1" applyBorder="1" applyAlignment="1">
      <alignment textRotation="90"/>
    </xf>
    <xf numFmtId="0" fontId="9" fillId="0" borderId="6" xfId="0" applyFont="1" applyBorder="1" applyAlignment="1"/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/>
    <xf numFmtId="0" fontId="9" fillId="0" borderId="9" xfId="0" applyFont="1" applyBorder="1" applyAlignment="1">
      <alignment textRotation="90"/>
    </xf>
    <xf numFmtId="0" fontId="9" fillId="0" borderId="7" xfId="0" applyFont="1" applyBorder="1" applyAlignment="1">
      <alignment textRotation="90"/>
    </xf>
    <xf numFmtId="0" fontId="9" fillId="0" borderId="9" xfId="0" applyFont="1" applyBorder="1" applyAlignment="1">
      <alignment horizontal="center" textRotation="90"/>
    </xf>
    <xf numFmtId="0" fontId="9" fillId="0" borderId="12" xfId="0" applyFont="1" applyBorder="1" applyAlignment="1">
      <alignment horizontal="center" textRotation="90"/>
    </xf>
    <xf numFmtId="0" fontId="9" fillId="0" borderId="7" xfId="0" applyFont="1" applyBorder="1" applyAlignment="1">
      <alignment horizontal="center" textRotation="90"/>
    </xf>
    <xf numFmtId="0" fontId="9" fillId="0" borderId="10" xfId="0" applyFont="1" applyBorder="1" applyAlignment="1">
      <alignment horizontal="center" textRotation="90"/>
    </xf>
    <xf numFmtId="0" fontId="9" fillId="0" borderId="10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6" xfId="0" applyFont="1" applyBorder="1" applyAlignment="1"/>
    <xf numFmtId="0" fontId="1" fillId="0" borderId="28" xfId="0" applyFont="1" applyBorder="1" applyAlignment="1"/>
    <xf numFmtId="0" fontId="1" fillId="0" borderId="16" xfId="0" applyFont="1" applyBorder="1" applyAlignment="1">
      <alignment horizontal="center" textRotation="90"/>
    </xf>
    <xf numFmtId="0" fontId="15" fillId="0" borderId="16" xfId="0" applyFont="1" applyBorder="1" applyAlignment="1"/>
    <xf numFmtId="0" fontId="15" fillId="0" borderId="17" xfId="0" applyFont="1" applyBorder="1" applyAlignment="1"/>
    <xf numFmtId="0" fontId="1" fillId="0" borderId="24" xfId="0" applyFont="1" applyBorder="1" applyAlignment="1"/>
    <xf numFmtId="0" fontId="1" fillId="0" borderId="29" xfId="0" applyFont="1" applyBorder="1" applyAlignment="1"/>
    <xf numFmtId="0" fontId="15" fillId="0" borderId="18" xfId="0" applyFont="1" applyBorder="1" applyAlignment="1">
      <alignment horizontal="center"/>
    </xf>
    <xf numFmtId="0" fontId="1" fillId="0" borderId="19" xfId="0" applyFont="1" applyBorder="1" applyAlignment="1"/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8" xfId="0" applyFont="1" applyBorder="1" applyAlignment="1">
      <alignment horizontal="center" shrinkToFit="1"/>
    </xf>
    <xf numFmtId="0" fontId="15" fillId="0" borderId="19" xfId="0" applyFont="1" applyBorder="1" applyAlignment="1">
      <alignment horizontal="center" shrinkToFit="1"/>
    </xf>
    <xf numFmtId="0" fontId="1" fillId="0" borderId="21" xfId="0" applyFont="1" applyBorder="1" applyAlignment="1"/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/>
    <xf numFmtId="0" fontId="1" fillId="0" borderId="36" xfId="0" applyFont="1" applyBorder="1" applyAlignment="1"/>
    <xf numFmtId="0" fontId="1" fillId="0" borderId="23" xfId="0" applyFont="1" applyBorder="1" applyAlignment="1">
      <alignment horizontal="center" vertical="center" wrapText="1"/>
    </xf>
    <xf numFmtId="0" fontId="1" fillId="0" borderId="27" xfId="0" applyFont="1" applyBorder="1" applyAlignment="1"/>
    <xf numFmtId="0" fontId="1" fillId="0" borderId="37" xfId="0" applyFont="1" applyBorder="1" applyAlignment="1"/>
    <xf numFmtId="0" fontId="1" fillId="0" borderId="18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 shrinkToFit="1"/>
    </xf>
    <xf numFmtId="0" fontId="1" fillId="0" borderId="19" xfId="0" applyFont="1" applyBorder="1" applyAlignment="1">
      <alignment horizontal="center" shrinkToFit="1"/>
    </xf>
    <xf numFmtId="0" fontId="9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/>
    <xf numFmtId="0" fontId="1" fillId="0" borderId="52" xfId="0" applyFont="1" applyBorder="1" applyAlignment="1"/>
    <xf numFmtId="0" fontId="1" fillId="0" borderId="64" xfId="0" applyFont="1" applyBorder="1" applyAlignment="1"/>
    <xf numFmtId="0" fontId="1" fillId="0" borderId="65" xfId="0" applyFont="1" applyBorder="1" applyAlignment="1"/>
    <xf numFmtId="0" fontId="1" fillId="0" borderId="71" xfId="0" applyFont="1" applyBorder="1" applyAlignment="1"/>
    <xf numFmtId="0" fontId="1" fillId="0" borderId="72" xfId="0" applyFont="1" applyBorder="1" applyAlignment="1"/>
    <xf numFmtId="0" fontId="1" fillId="0" borderId="73" xfId="0" applyFont="1" applyBorder="1" applyAlignment="1"/>
    <xf numFmtId="0" fontId="9" fillId="0" borderId="53" xfId="0" applyFont="1" applyBorder="1" applyAlignment="1">
      <alignment horizontal="center" wrapText="1"/>
    </xf>
    <xf numFmtId="0" fontId="1" fillId="0" borderId="54" xfId="0" applyFont="1" applyBorder="1" applyAlignment="1"/>
    <xf numFmtId="0" fontId="9" fillId="0" borderId="24" xfId="0" applyFont="1" applyBorder="1" applyAlignment="1">
      <alignment horizontal="center" vertical="center" wrapText="1"/>
    </xf>
    <xf numFmtId="1" fontId="17" fillId="0" borderId="66" xfId="0" applyNumberFormat="1" applyFont="1" applyBorder="1" applyAlignment="1">
      <alignment horizontal="center" vertical="center"/>
    </xf>
    <xf numFmtId="0" fontId="1" fillId="0" borderId="67" xfId="0" applyFont="1" applyBorder="1" applyAlignment="1"/>
    <xf numFmtId="0" fontId="10" fillId="0" borderId="66" xfId="0" applyFont="1" applyBorder="1" applyAlignment="1">
      <alignment horizontal="center" vertical="center"/>
    </xf>
    <xf numFmtId="0" fontId="1" fillId="0" borderId="68" xfId="0" applyFont="1" applyBorder="1" applyAlignment="1"/>
    <xf numFmtId="0" fontId="10" fillId="0" borderId="68" xfId="0" applyFont="1" applyBorder="1" applyAlignment="1">
      <alignment horizontal="center" vertical="center"/>
    </xf>
    <xf numFmtId="168" fontId="9" fillId="0" borderId="74" xfId="0" applyNumberFormat="1" applyFont="1" applyBorder="1" applyAlignment="1">
      <alignment horizontal="center" vertical="center" wrapText="1"/>
    </xf>
    <xf numFmtId="0" fontId="1" fillId="0" borderId="75" xfId="0" applyFont="1" applyBorder="1" applyAlignment="1"/>
    <xf numFmtId="168" fontId="10" fillId="0" borderId="76" xfId="0" applyNumberFormat="1" applyFont="1" applyBorder="1" applyAlignment="1">
      <alignment horizontal="center" vertical="center"/>
    </xf>
    <xf numFmtId="0" fontId="1" fillId="0" borderId="77" xfId="0" applyFont="1" applyBorder="1" applyAlignment="1"/>
    <xf numFmtId="0" fontId="1" fillId="0" borderId="78" xfId="0" applyFont="1" applyBorder="1" applyAlignment="1"/>
    <xf numFmtId="0" fontId="1" fillId="0" borderId="16" xfId="0" applyFont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/>
    </xf>
    <xf numFmtId="9" fontId="16" fillId="0" borderId="8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shrinkToFit="1"/>
    </xf>
    <xf numFmtId="0" fontId="1" fillId="0" borderId="13" xfId="0" applyFont="1" applyBorder="1" applyAlignment="1"/>
    <xf numFmtId="0" fontId="1" fillId="0" borderId="94" xfId="0" applyFont="1" applyBorder="1" applyAlignment="1"/>
    <xf numFmtId="0" fontId="1" fillId="0" borderId="87" xfId="0" applyFont="1" applyBorder="1" applyAlignment="1"/>
    <xf numFmtId="0" fontId="1" fillId="0" borderId="64" xfId="0" applyFont="1" applyBorder="1" applyAlignment="1">
      <alignment horizontal="center"/>
    </xf>
    <xf numFmtId="2" fontId="15" fillId="0" borderId="26" xfId="0" applyNumberFormat="1" applyFont="1" applyBorder="1" applyAlignment="1">
      <alignment horizontal="center" vertical="center" wrapText="1"/>
    </xf>
    <xf numFmtId="0" fontId="1" fillId="0" borderId="98" xfId="0" applyFont="1" applyBorder="1" applyAlignment="1"/>
    <xf numFmtId="166" fontId="15" fillId="0" borderId="27" xfId="0" applyNumberFormat="1" applyFont="1" applyBorder="1" applyAlignment="1">
      <alignment horizontal="center" vertical="center" wrapText="1"/>
    </xf>
    <xf numFmtId="0" fontId="1" fillId="0" borderId="48" xfId="0" applyFont="1" applyBorder="1" applyAlignment="1"/>
    <xf numFmtId="0" fontId="15" fillId="0" borderId="90" xfId="0" applyFont="1" applyBorder="1" applyAlignment="1">
      <alignment horizontal="center" shrinkToFit="1"/>
    </xf>
    <xf numFmtId="0" fontId="15" fillId="0" borderId="15" xfId="0" applyFont="1" applyBorder="1" applyAlignment="1">
      <alignment horizontal="center" shrinkToFit="1"/>
    </xf>
    <xf numFmtId="0" fontId="15" fillId="0" borderId="91" xfId="0" applyFont="1" applyBorder="1" applyAlignment="1">
      <alignment horizontal="center" vertical="center" shrinkToFit="1"/>
    </xf>
    <xf numFmtId="0" fontId="1" fillId="0" borderId="97" xfId="0" applyFont="1" applyBorder="1" applyAlignment="1"/>
    <xf numFmtId="0" fontId="21" fillId="0" borderId="3" xfId="0" applyFont="1" applyBorder="1" applyAlignment="1">
      <alignment horizontal="center"/>
    </xf>
    <xf numFmtId="0" fontId="1" fillId="0" borderId="3" xfId="0" applyFont="1" applyBorder="1" applyAlignment="1"/>
    <xf numFmtId="0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workbookViewId="0">
      <selection activeCell="W24" sqref="W24"/>
    </sheetView>
  </sheetViews>
  <sheetFormatPr defaultColWidth="9" defaultRowHeight="15" customHeight="1"/>
  <cols>
    <col min="1" max="1" width="5.28515625" bestFit="1" customWidth="1"/>
    <col min="2" max="2" width="4.42578125" bestFit="1" customWidth="1"/>
    <col min="3" max="3" width="6.28515625" bestFit="1" customWidth="1"/>
    <col min="4" max="4" width="7.42578125" bestFit="1" customWidth="1"/>
    <col min="5" max="8" width="6.28515625" bestFit="1" customWidth="1"/>
    <col min="9" max="9" width="11.28515625" customWidth="1"/>
    <col min="10" max="11" width="6.28515625" bestFit="1" customWidth="1"/>
    <col min="12" max="12" width="6.28515625" customWidth="1"/>
    <col min="13" max="19" width="6.28515625" bestFit="1" customWidth="1"/>
    <col min="20" max="20" width="9.28515625" customWidth="1"/>
    <col min="21" max="21" width="6.28515625" bestFit="1" customWidth="1"/>
    <col min="22" max="22" width="12" customWidth="1"/>
    <col min="23" max="23" width="6.7109375" customWidth="1"/>
    <col min="24" max="26" width="6.28515625" bestFit="1" customWidth="1"/>
    <col min="27" max="27" width="8" bestFit="1" customWidth="1"/>
    <col min="28" max="28" width="6.28515625" bestFit="1" customWidth="1"/>
    <col min="29" max="29" width="12.42578125" customWidth="1"/>
    <col min="30" max="32" width="6.28515625" bestFit="1" customWidth="1"/>
    <col min="33" max="33" width="7.7109375" customWidth="1"/>
    <col min="34" max="34" width="5.42578125" bestFit="1" customWidth="1"/>
    <col min="35" max="35" width="6" bestFit="1" customWidth="1"/>
    <col min="36" max="38" width="5.42578125" bestFit="1" customWidth="1"/>
    <col min="39" max="255" width="14" bestFit="1" customWidth="1"/>
  </cols>
  <sheetData>
    <row r="1" spans="1:42" ht="15" customHeight="1">
      <c r="A1" s="1">
        <v>251</v>
      </c>
      <c r="B1" s="1" t="s">
        <v>0</v>
      </c>
      <c r="C1" s="2">
        <v>45917</v>
      </c>
      <c r="D1" s="2">
        <v>45924</v>
      </c>
      <c r="E1" s="2">
        <v>45931</v>
      </c>
      <c r="F1" s="2">
        <v>45938</v>
      </c>
      <c r="H1" s="2" t="s">
        <v>1</v>
      </c>
      <c r="I1" s="2"/>
      <c r="J1" s="2"/>
      <c r="K1" s="2"/>
      <c r="L1" s="3">
        <v>45910</v>
      </c>
      <c r="M1" s="3">
        <v>45910</v>
      </c>
      <c r="N1" s="3">
        <v>45912</v>
      </c>
      <c r="O1" s="3">
        <v>45919</v>
      </c>
      <c r="P1" s="3">
        <v>45924</v>
      </c>
      <c r="Q1" s="3">
        <v>45926</v>
      </c>
      <c r="R1" s="3">
        <v>45931</v>
      </c>
      <c r="S1" s="3">
        <v>45938</v>
      </c>
      <c r="T1" s="3">
        <v>45940</v>
      </c>
      <c r="U1" s="3">
        <v>45945</v>
      </c>
      <c r="V1" s="2" t="s">
        <v>1</v>
      </c>
      <c r="W1" s="2"/>
      <c r="X1" s="4">
        <f t="shared" ref="X1:Y8" si="0">CHOOSE(MATCH(X$10,$L$22:$U$22),$L23,$M23,$N23,$O23,$P23,$Q23,$R23,$S23)</f>
        <v>45932</v>
      </c>
      <c r="Y1" s="4">
        <f t="shared" si="0"/>
        <v>45946</v>
      </c>
      <c r="Z1" s="5">
        <f t="shared" ref="Z1:Z8" si="1">IF(OR(CHOOSE(MATCH(Z$10,$L$22:$U$22)+1,$L23,$M23,$N23,$O23,$P23,$Q23,$R23,$S23)&gt;($J$14),CHOOSE(MATCH(Z$10,$L$22:$U$22)+1,$L23,$M23,$N23,$O23,$P23,$Q23,$R23,$S23)=0),"-----",CHOOSE(MATCH(Z$10,$L$22:$U$22)+1,$L23,$M23,$N23,$O23,$P23,$Q23,$R23,$S23))</f>
        <v>45939</v>
      </c>
      <c r="AA1" s="6" t="s">
        <v>2</v>
      </c>
      <c r="AB1" s="5">
        <f t="shared" ref="AB1:AB8" si="2">IF(OR(CHOOSE(MATCH(AB$10,$L$22:$U$22)+2,$L23,$M23,$N23,$O23,$P23,$Q23,$R23,$S23)&gt;($J$14),CHOOSE(MATCH(AB$10,$L$22:$U$22)+2,$L23,$M23,$N23,$O23,$P23,$Q23,$R23,$S23)=0),"-----",CHOOSE(MATCH(AB$10,$L$22:$U$22)+2,$L23,$M23,$N23,$O23,$P23,$Q23,$R23,$S23))</f>
        <v>45946</v>
      </c>
      <c r="AC1" s="6" t="s">
        <v>2</v>
      </c>
      <c r="AD1" s="7"/>
      <c r="AE1" s="4">
        <f t="shared" ref="AE1:AF9" si="3">CHOOSE(MATCH(AE$10,$L$32:$U$32),$L33,$M33,$N33,$O33,$P33,$Q33,$R33,$S33)</f>
        <v>45932</v>
      </c>
      <c r="AF1" s="4">
        <f t="shared" si="3"/>
        <v>45946</v>
      </c>
      <c r="AG1" s="5">
        <f t="shared" ref="AG1:AG9" si="4">IF(OR(CHOOSE(MATCH(AG$10,$L$32:$U$32)+1,$L33,$M33,$N33,$O33,$P33,$Q33,$R33,$S33)&gt;($J$14),CHOOSE(MATCH(AG$10,$L$32:$U$32)+1,$L33,$M33,$N33,$O33,$P33,$Q33,$R33,$S33)=0),"-----",CHOOSE(MATCH(AG$10,$L$32:$U$32)+1,$L33,$M33,$N33,$O33,$P33,$Q33,$R33,$S33))</f>
        <v>45939</v>
      </c>
      <c r="AH1" s="6" t="s">
        <v>2</v>
      </c>
      <c r="AI1" s="5">
        <f t="shared" ref="AI1:AI9" si="5">IF(OR(CHOOSE(MATCH(AI$10,$L$32:$U$32)+2,$L33,$M33,$N33,$O33,$P33,$Q33,$R33,$S33)&gt;($J$14),CHOOSE(MATCH(AI$10,$L$32:$U$32)+2,$L33,$M33,$N33,$O33,$P33,$Q33,$R33,$S33)=0),"-----",CHOOSE(MATCH(AI$10,$L$32:$U$32)+2,$L33,$M33,$N33,$O33,$P33,$Q33,$R33,$S33))</f>
        <v>45946</v>
      </c>
      <c r="AJ1" s="6" t="s">
        <v>2</v>
      </c>
      <c r="AK1" s="8"/>
      <c r="AL1" s="8"/>
      <c r="AM1" s="8"/>
      <c r="AN1" s="8"/>
      <c r="AO1" s="8"/>
      <c r="AP1" s="8"/>
    </row>
    <row r="2" spans="1:42" ht="15" customHeight="1">
      <c r="A2" s="1">
        <v>252</v>
      </c>
      <c r="B2" s="1" t="s">
        <v>0</v>
      </c>
      <c r="C2" s="2">
        <v>45910</v>
      </c>
      <c r="D2" s="2">
        <v>45917</v>
      </c>
      <c r="E2" s="2">
        <v>45924</v>
      </c>
      <c r="F2" s="2">
        <v>45931</v>
      </c>
      <c r="G2" s="2"/>
      <c r="H2" s="2" t="s">
        <v>1</v>
      </c>
      <c r="I2" s="2"/>
      <c r="J2" s="2"/>
      <c r="K2" s="2"/>
      <c r="L2" s="3">
        <v>45910</v>
      </c>
      <c r="M2" s="3">
        <v>45910</v>
      </c>
      <c r="N2" s="3">
        <v>45912</v>
      </c>
      <c r="O2" s="3">
        <v>45919</v>
      </c>
      <c r="P2" s="3">
        <v>45924</v>
      </c>
      <c r="Q2" s="3">
        <v>45926</v>
      </c>
      <c r="R2" s="3">
        <v>45931</v>
      </c>
      <c r="S2" s="3">
        <v>45938</v>
      </c>
      <c r="T2" s="3">
        <v>45940</v>
      </c>
      <c r="U2" s="3">
        <v>45945</v>
      </c>
      <c r="V2" s="2" t="s">
        <v>1</v>
      </c>
      <c r="W2" s="2"/>
      <c r="X2" s="4">
        <f t="shared" si="0"/>
        <v>45926</v>
      </c>
      <c r="Y2" s="4">
        <f t="shared" si="0"/>
        <v>45940</v>
      </c>
      <c r="Z2" s="5">
        <f t="shared" si="1"/>
        <v>45933</v>
      </c>
      <c r="AA2" s="6" t="s">
        <v>2</v>
      </c>
      <c r="AB2" s="5">
        <f t="shared" si="2"/>
        <v>45940</v>
      </c>
      <c r="AC2" s="6" t="s">
        <v>2</v>
      </c>
      <c r="AD2" s="7"/>
      <c r="AE2" s="4">
        <f t="shared" si="3"/>
        <v>45926</v>
      </c>
      <c r="AF2" s="4">
        <f t="shared" si="3"/>
        <v>45940</v>
      </c>
      <c r="AG2" s="5">
        <f t="shared" si="4"/>
        <v>45933</v>
      </c>
      <c r="AH2" s="6" t="s">
        <v>2</v>
      </c>
      <c r="AI2" s="5">
        <f t="shared" si="5"/>
        <v>45940</v>
      </c>
      <c r="AJ2" s="6" t="s">
        <v>2</v>
      </c>
      <c r="AK2" s="8"/>
      <c r="AL2" s="8"/>
      <c r="AM2" s="8"/>
      <c r="AN2" s="8"/>
      <c r="AO2" s="8"/>
      <c r="AP2" s="8"/>
    </row>
    <row r="3" spans="1:42" ht="15" customHeight="1">
      <c r="A3" s="1">
        <v>253</v>
      </c>
      <c r="B3" s="1" t="s">
        <v>0</v>
      </c>
      <c r="C3" s="2">
        <v>45910</v>
      </c>
      <c r="D3" s="2">
        <v>45917</v>
      </c>
      <c r="E3" s="2">
        <v>45924</v>
      </c>
      <c r="F3" s="2">
        <v>45931</v>
      </c>
      <c r="G3" s="2"/>
      <c r="H3" s="2" t="s">
        <v>1</v>
      </c>
      <c r="I3" s="2"/>
      <c r="J3" s="2"/>
      <c r="K3" s="2"/>
      <c r="L3" s="3">
        <v>45910</v>
      </c>
      <c r="M3" s="3">
        <v>45910</v>
      </c>
      <c r="N3" s="3">
        <v>45912</v>
      </c>
      <c r="O3" s="3">
        <v>45919</v>
      </c>
      <c r="P3" s="3">
        <v>45924</v>
      </c>
      <c r="Q3" s="3">
        <v>45926</v>
      </c>
      <c r="R3" s="3">
        <v>45931</v>
      </c>
      <c r="S3" s="3">
        <v>45938</v>
      </c>
      <c r="T3" s="3">
        <v>45940</v>
      </c>
      <c r="U3" s="3">
        <v>45945</v>
      </c>
      <c r="V3" s="2" t="s">
        <v>1</v>
      </c>
      <c r="W3" s="2"/>
      <c r="X3" s="4">
        <f t="shared" si="0"/>
        <v>45931</v>
      </c>
      <c r="Y3" s="4">
        <f t="shared" si="0"/>
        <v>45945</v>
      </c>
      <c r="Z3" s="5">
        <f t="shared" si="1"/>
        <v>45938</v>
      </c>
      <c r="AA3" s="6" t="s">
        <v>2</v>
      </c>
      <c r="AB3" s="5">
        <f t="shared" si="2"/>
        <v>45945</v>
      </c>
      <c r="AC3" s="6" t="s">
        <v>2</v>
      </c>
      <c r="AD3" s="7"/>
      <c r="AE3" s="4">
        <f t="shared" si="3"/>
        <v>45931</v>
      </c>
      <c r="AF3" s="4">
        <f t="shared" si="3"/>
        <v>45945</v>
      </c>
      <c r="AG3" s="5">
        <f t="shared" si="4"/>
        <v>45938</v>
      </c>
      <c r="AH3" s="6" t="s">
        <v>2</v>
      </c>
      <c r="AI3" s="5">
        <f t="shared" si="5"/>
        <v>45945</v>
      </c>
      <c r="AJ3" s="6" t="s">
        <v>2</v>
      </c>
      <c r="AK3" s="8"/>
      <c r="AL3" s="8"/>
      <c r="AM3" s="8"/>
      <c r="AN3" s="8"/>
      <c r="AO3" s="8"/>
      <c r="AP3" s="8"/>
    </row>
    <row r="4" spans="1:42" ht="15" customHeight="1">
      <c r="A4" s="1">
        <v>254</v>
      </c>
      <c r="B4" s="1" t="s">
        <v>0</v>
      </c>
      <c r="C4" s="2">
        <v>45911</v>
      </c>
      <c r="D4" s="2">
        <v>45918</v>
      </c>
      <c r="E4" s="2">
        <v>45925</v>
      </c>
      <c r="F4" s="2">
        <v>45932</v>
      </c>
      <c r="G4" s="2"/>
      <c r="H4" s="2" t="s">
        <v>1</v>
      </c>
      <c r="I4" s="2"/>
      <c r="J4" s="2"/>
      <c r="K4" s="2"/>
      <c r="L4" s="3">
        <v>45910</v>
      </c>
      <c r="M4" s="3">
        <v>45910</v>
      </c>
      <c r="N4" s="3">
        <v>45912</v>
      </c>
      <c r="O4" s="3">
        <v>45919</v>
      </c>
      <c r="P4" s="3">
        <v>45924</v>
      </c>
      <c r="Q4" s="3">
        <v>45926</v>
      </c>
      <c r="R4" s="3">
        <v>45931</v>
      </c>
      <c r="S4" s="3">
        <v>45938</v>
      </c>
      <c r="T4" s="3">
        <v>45940</v>
      </c>
      <c r="U4" s="3">
        <v>45945</v>
      </c>
      <c r="V4" s="2" t="s">
        <v>1</v>
      </c>
      <c r="W4" s="2"/>
      <c r="X4" s="4">
        <f t="shared" si="0"/>
        <v>45931</v>
      </c>
      <c r="Y4" s="4">
        <f t="shared" si="0"/>
        <v>45945</v>
      </c>
      <c r="Z4" s="5">
        <f t="shared" si="1"/>
        <v>45938</v>
      </c>
      <c r="AA4" s="6" t="s">
        <v>2</v>
      </c>
      <c r="AB4" s="5">
        <f t="shared" si="2"/>
        <v>45945</v>
      </c>
      <c r="AC4" s="6" t="s">
        <v>2</v>
      </c>
      <c r="AD4" s="7"/>
      <c r="AE4" s="4">
        <f t="shared" si="3"/>
        <v>45932</v>
      </c>
      <c r="AF4" s="4">
        <f t="shared" si="3"/>
        <v>45946</v>
      </c>
      <c r="AG4" s="5">
        <f t="shared" si="4"/>
        <v>45939</v>
      </c>
      <c r="AH4" s="6" t="s">
        <v>2</v>
      </c>
      <c r="AI4" s="5">
        <f t="shared" si="5"/>
        <v>45946</v>
      </c>
      <c r="AJ4" s="6" t="s">
        <v>2</v>
      </c>
      <c r="AK4" s="8"/>
      <c r="AL4" s="8"/>
      <c r="AM4" s="8"/>
      <c r="AN4" s="8"/>
      <c r="AO4" s="8"/>
      <c r="AP4" s="8"/>
    </row>
    <row r="5" spans="1:42" ht="15" customHeight="1">
      <c r="A5" s="1">
        <v>255</v>
      </c>
      <c r="B5" s="1" t="s">
        <v>0</v>
      </c>
      <c r="C5" s="2">
        <v>45911</v>
      </c>
      <c r="D5" s="2">
        <v>45918</v>
      </c>
      <c r="E5" s="2">
        <v>45925</v>
      </c>
      <c r="F5" s="2">
        <v>45932</v>
      </c>
      <c r="G5" s="2"/>
      <c r="H5" s="2" t="s">
        <v>1</v>
      </c>
      <c r="I5" s="2"/>
      <c r="J5" s="2"/>
      <c r="K5" s="2"/>
      <c r="L5" s="3">
        <v>45911</v>
      </c>
      <c r="M5" s="3">
        <v>45918</v>
      </c>
      <c r="N5" s="3">
        <v>45925</v>
      </c>
      <c r="O5" s="3">
        <v>45932</v>
      </c>
      <c r="P5" s="3">
        <v>45933</v>
      </c>
      <c r="Q5" s="3">
        <v>45933</v>
      </c>
      <c r="R5" s="3">
        <v>45938</v>
      </c>
      <c r="S5" s="3">
        <v>45939</v>
      </c>
      <c r="T5" s="3">
        <v>45940</v>
      </c>
      <c r="U5" s="3">
        <v>45945</v>
      </c>
      <c r="V5" s="2" t="s">
        <v>1</v>
      </c>
      <c r="W5" s="2"/>
      <c r="X5" s="4">
        <f t="shared" si="0"/>
        <v>45933</v>
      </c>
      <c r="Y5" s="4">
        <f t="shared" si="0"/>
        <v>45945</v>
      </c>
      <c r="Z5" s="5">
        <f t="shared" si="1"/>
        <v>45940</v>
      </c>
      <c r="AA5" s="6" t="s">
        <v>2</v>
      </c>
      <c r="AB5" s="5">
        <f t="shared" si="2"/>
        <v>45945</v>
      </c>
      <c r="AC5" s="6" t="s">
        <v>2</v>
      </c>
      <c r="AD5" s="7"/>
      <c r="AE5" s="4">
        <f t="shared" si="3"/>
        <v>45932</v>
      </c>
      <c r="AF5" s="4">
        <f t="shared" si="3"/>
        <v>45946</v>
      </c>
      <c r="AG5" s="5">
        <f t="shared" si="4"/>
        <v>45939</v>
      </c>
      <c r="AH5" s="6" t="s">
        <v>2</v>
      </c>
      <c r="AI5" s="5">
        <f t="shared" si="5"/>
        <v>45946</v>
      </c>
      <c r="AJ5" s="6" t="s">
        <v>2</v>
      </c>
      <c r="AK5" s="8"/>
      <c r="AL5" s="8"/>
      <c r="AM5" s="8"/>
      <c r="AN5" s="8"/>
      <c r="AO5" s="8"/>
      <c r="AP5" s="8"/>
    </row>
    <row r="6" spans="1:42" ht="15" customHeight="1">
      <c r="A6" s="1">
        <v>256</v>
      </c>
      <c r="B6" s="1" t="s">
        <v>0</v>
      </c>
      <c r="C6" s="2">
        <v>45911</v>
      </c>
      <c r="D6" s="2">
        <v>45918</v>
      </c>
      <c r="E6" s="2">
        <v>45925</v>
      </c>
      <c r="F6" s="2">
        <v>45932</v>
      </c>
      <c r="G6" s="2"/>
      <c r="H6" s="2" t="s">
        <v>1</v>
      </c>
      <c r="I6" s="2"/>
      <c r="J6" s="2"/>
      <c r="K6" s="2"/>
      <c r="L6" s="3">
        <v>45911</v>
      </c>
      <c r="M6" s="3">
        <v>45918</v>
      </c>
      <c r="N6" s="3">
        <v>45925</v>
      </c>
      <c r="O6" s="3">
        <v>45932</v>
      </c>
      <c r="P6" s="3">
        <v>45933</v>
      </c>
      <c r="Q6" s="3">
        <v>45933</v>
      </c>
      <c r="R6" s="3">
        <v>45938</v>
      </c>
      <c r="S6" s="3">
        <v>45939</v>
      </c>
      <c r="T6" s="3">
        <v>45940</v>
      </c>
      <c r="U6" s="3">
        <v>45945</v>
      </c>
      <c r="V6" s="2" t="s">
        <v>1</v>
      </c>
      <c r="W6" s="2"/>
      <c r="X6" s="4">
        <f t="shared" si="0"/>
        <v>45932</v>
      </c>
      <c r="Y6" s="4">
        <f t="shared" si="0"/>
        <v>45946</v>
      </c>
      <c r="Z6" s="5">
        <f t="shared" si="1"/>
        <v>45939</v>
      </c>
      <c r="AA6" s="6" t="s">
        <v>2</v>
      </c>
      <c r="AB6" s="5">
        <f t="shared" si="2"/>
        <v>45946</v>
      </c>
      <c r="AC6" s="6" t="s">
        <v>2</v>
      </c>
      <c r="AD6" s="7"/>
      <c r="AE6" s="4">
        <f t="shared" si="3"/>
        <v>45929</v>
      </c>
      <c r="AF6" s="4">
        <f t="shared" si="3"/>
        <v>45943</v>
      </c>
      <c r="AG6" s="5">
        <f t="shared" si="4"/>
        <v>45936</v>
      </c>
      <c r="AH6" s="6" t="s">
        <v>2</v>
      </c>
      <c r="AI6" s="5">
        <f t="shared" si="5"/>
        <v>45943</v>
      </c>
      <c r="AJ6" s="6" t="s">
        <v>2</v>
      </c>
      <c r="AK6" s="8"/>
      <c r="AL6" s="8"/>
      <c r="AM6" s="8"/>
      <c r="AN6" s="8"/>
      <c r="AO6" s="8"/>
      <c r="AP6" s="8"/>
    </row>
    <row r="7" spans="1:42" ht="15" customHeight="1">
      <c r="A7" s="1">
        <v>257</v>
      </c>
      <c r="B7" s="1" t="s">
        <v>0</v>
      </c>
      <c r="C7" s="2">
        <v>45912</v>
      </c>
      <c r="D7" s="2">
        <v>45912</v>
      </c>
      <c r="E7" s="2">
        <v>45919</v>
      </c>
      <c r="F7" s="2">
        <v>45919</v>
      </c>
      <c r="G7" s="2"/>
      <c r="H7" s="2" t="s">
        <v>1</v>
      </c>
      <c r="I7" s="2"/>
      <c r="J7" s="2"/>
      <c r="K7" s="2"/>
      <c r="L7" s="3">
        <v>45911</v>
      </c>
      <c r="M7" s="3">
        <v>45918</v>
      </c>
      <c r="N7" s="3">
        <v>45925</v>
      </c>
      <c r="O7" s="3">
        <v>45932</v>
      </c>
      <c r="P7" s="3">
        <v>45933</v>
      </c>
      <c r="Q7" s="3">
        <v>45933</v>
      </c>
      <c r="R7" s="3">
        <v>45938</v>
      </c>
      <c r="S7" s="3">
        <v>45939</v>
      </c>
      <c r="T7" s="3">
        <v>45940</v>
      </c>
      <c r="U7" s="3">
        <v>45945</v>
      </c>
      <c r="V7" s="2" t="s">
        <v>1</v>
      </c>
      <c r="W7" s="2"/>
      <c r="X7" s="4">
        <f t="shared" si="0"/>
        <v>45931</v>
      </c>
      <c r="Y7" s="4">
        <f t="shared" si="0"/>
        <v>45952</v>
      </c>
      <c r="Z7" s="5">
        <f t="shared" si="1"/>
        <v>45938</v>
      </c>
      <c r="AA7" s="6" t="s">
        <v>2</v>
      </c>
      <c r="AB7" s="5">
        <f t="shared" si="2"/>
        <v>45952</v>
      </c>
      <c r="AC7" s="6" t="s">
        <v>2</v>
      </c>
      <c r="AD7" s="7"/>
      <c r="AE7" s="4">
        <f t="shared" si="3"/>
        <v>45929</v>
      </c>
      <c r="AF7" s="4">
        <f t="shared" si="3"/>
        <v>45943</v>
      </c>
      <c r="AG7" s="5">
        <f t="shared" si="4"/>
        <v>45936</v>
      </c>
      <c r="AH7" s="6" t="s">
        <v>2</v>
      </c>
      <c r="AI7" s="5">
        <f t="shared" si="5"/>
        <v>45943</v>
      </c>
      <c r="AJ7" s="6" t="s">
        <v>2</v>
      </c>
      <c r="AK7" s="8"/>
      <c r="AL7" s="8"/>
      <c r="AM7" s="8"/>
      <c r="AN7" s="8"/>
      <c r="AO7" s="8"/>
      <c r="AP7" s="8"/>
    </row>
    <row r="8" spans="1:42" ht="15" hidden="1" customHeight="1">
      <c r="A8" s="1">
        <v>258</v>
      </c>
      <c r="B8" s="1" t="s">
        <v>0</v>
      </c>
      <c r="C8" s="2">
        <v>45913</v>
      </c>
      <c r="D8" s="2">
        <v>45920</v>
      </c>
      <c r="E8" s="2">
        <v>45934</v>
      </c>
      <c r="F8" s="2">
        <v>45941</v>
      </c>
      <c r="G8" s="2"/>
      <c r="H8" s="2" t="s">
        <v>1</v>
      </c>
      <c r="I8" s="2"/>
      <c r="J8" s="2"/>
      <c r="K8" s="2"/>
      <c r="L8" s="3">
        <v>45906</v>
      </c>
      <c r="M8" s="3">
        <v>45913</v>
      </c>
      <c r="N8" s="3">
        <v>45920</v>
      </c>
      <c r="O8" s="3">
        <v>45927</v>
      </c>
      <c r="P8" s="3">
        <v>45934</v>
      </c>
      <c r="Q8" s="3">
        <v>45935</v>
      </c>
      <c r="R8" s="3">
        <v>45941</v>
      </c>
      <c r="S8" s="3">
        <v>45942</v>
      </c>
      <c r="T8" s="3">
        <v>45948</v>
      </c>
      <c r="U8" s="3">
        <v>45949</v>
      </c>
      <c r="V8" s="2" t="s">
        <v>1</v>
      </c>
      <c r="W8" s="2"/>
      <c r="X8" s="4">
        <f t="shared" si="0"/>
        <v>45918</v>
      </c>
      <c r="Y8" s="4">
        <f t="shared" si="0"/>
        <v>45932</v>
      </c>
      <c r="Z8" s="5">
        <f t="shared" si="1"/>
        <v>45925</v>
      </c>
      <c r="AA8" s="6" t="s">
        <v>2</v>
      </c>
      <c r="AB8" s="5">
        <f t="shared" si="2"/>
        <v>45932</v>
      </c>
      <c r="AC8" s="6" t="s">
        <v>2</v>
      </c>
      <c r="AD8" s="7"/>
      <c r="AE8" s="4">
        <f t="shared" si="3"/>
        <v>45912</v>
      </c>
      <c r="AF8" s="4">
        <f t="shared" si="3"/>
        <v>45914</v>
      </c>
      <c r="AG8" s="5">
        <f t="shared" si="4"/>
        <v>45913</v>
      </c>
      <c r="AH8" s="6" t="s">
        <v>2</v>
      </c>
      <c r="AI8" s="5">
        <f t="shared" si="5"/>
        <v>45914</v>
      </c>
      <c r="AJ8" s="6" t="s">
        <v>2</v>
      </c>
      <c r="AK8" s="8"/>
      <c r="AL8" s="8"/>
      <c r="AM8" s="8"/>
      <c r="AN8" s="8"/>
      <c r="AO8" s="8"/>
      <c r="AP8" s="8"/>
    </row>
    <row r="9" spans="1:42" ht="15" hidden="1" customHeight="1">
      <c r="A9" s="1">
        <v>259</v>
      </c>
      <c r="B9" s="1" t="s">
        <v>0</v>
      </c>
      <c r="C9" s="2">
        <v>45920</v>
      </c>
      <c r="D9" s="2">
        <v>45932</v>
      </c>
      <c r="E9" s="2">
        <v>45934</v>
      </c>
      <c r="F9" s="2">
        <v>45941</v>
      </c>
      <c r="G9" s="2"/>
      <c r="H9" s="2" t="s">
        <v>1</v>
      </c>
      <c r="I9" s="2"/>
      <c r="J9" s="2"/>
      <c r="K9" s="2"/>
      <c r="L9" s="3">
        <v>45906</v>
      </c>
      <c r="M9" s="3">
        <v>45913</v>
      </c>
      <c r="N9" s="3">
        <v>45920</v>
      </c>
      <c r="O9" s="3">
        <v>45927</v>
      </c>
      <c r="P9" s="3">
        <v>45934</v>
      </c>
      <c r="Q9" s="3">
        <v>45935</v>
      </c>
      <c r="R9" s="3">
        <v>45941</v>
      </c>
      <c r="S9" s="3">
        <v>45942</v>
      </c>
      <c r="T9" s="3">
        <v>45948</v>
      </c>
      <c r="U9" s="3">
        <v>45949</v>
      </c>
      <c r="V9" s="2" t="s">
        <v>1</v>
      </c>
      <c r="W9" s="2"/>
      <c r="X9" s="4">
        <f>CHOOSE(MATCH(X$10,$L$22:$U$22),$L30,$M30,$N30,$O30,$P30,$Q30,$R30,$S30)</f>
        <v>45918</v>
      </c>
      <c r="Y9" s="4">
        <f>CHOOSE(MATCH(Y$10,$L$22:$U$22),$L30,$M30,$N30,$O30,$P30,$Q30,$R30,$S30)</f>
        <v>45932</v>
      </c>
      <c r="Z9" s="5">
        <f>IF(OR(CHOOSE(MATCH(Z$10,$L$22:$U$22)+1,$L30,$M30,$N30,$O30,$P30,$Q30,$R30,$S30)&gt;($J$14),CHOOSE(MATCH(Z$10,$L$22:$U$22)+1,$L30,$M30,$N30,$O30,$P30,$Q30,$R30,$S30)=0),"-----",CHOOSE(MATCH(Z$10,$L$22:$U$22)+1,$L30,$M30,$N30,$O30,$P30,$Q30,$R30,$S30))</f>
        <v>45925</v>
      </c>
      <c r="AA9" s="6" t="s">
        <v>2</v>
      </c>
      <c r="AB9" s="5">
        <f>IF(OR(CHOOSE(MATCH(AB$10,$L$22:$U$22)+2,$L30,$M30,$N30,$O30,$P30,$Q30,$R30,$S30)&gt;($J$14),CHOOSE(MATCH(AB$10,$L$22:$U$22)+2,$L30,$M30,$N30,$O30,$P30,$Q30,$R30,$S30)=0),"-----",CHOOSE(MATCH(AB$10,$L$22:$U$22)+2,$L30,$M30,$N30,$O30,$P30,$Q30,$R30,$S30))</f>
        <v>45932</v>
      </c>
      <c r="AC9" s="6" t="s">
        <v>2</v>
      </c>
      <c r="AD9" s="7"/>
      <c r="AE9" s="4">
        <f t="shared" si="3"/>
        <v>45912</v>
      </c>
      <c r="AF9" s="4">
        <f t="shared" si="3"/>
        <v>45914</v>
      </c>
      <c r="AG9" s="5">
        <f t="shared" si="4"/>
        <v>45913</v>
      </c>
      <c r="AH9" s="6" t="s">
        <v>2</v>
      </c>
      <c r="AI9" s="5">
        <f t="shared" si="5"/>
        <v>45914</v>
      </c>
      <c r="AJ9" s="6" t="s">
        <v>2</v>
      </c>
      <c r="AK9" s="8"/>
      <c r="AL9" s="8"/>
      <c r="AM9" s="8"/>
      <c r="AN9" s="8"/>
      <c r="AO9" s="8"/>
      <c r="AP9" s="8"/>
    </row>
    <row r="10" spans="1:42" ht="1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9">
        <v>1</v>
      </c>
      <c r="Y10" s="9">
        <v>2</v>
      </c>
      <c r="Z10" s="9">
        <v>1</v>
      </c>
      <c r="AA10" s="9">
        <v>2</v>
      </c>
      <c r="AB10" s="9">
        <v>1</v>
      </c>
      <c r="AC10" s="9">
        <v>2</v>
      </c>
      <c r="AD10" s="7"/>
      <c r="AE10" s="9">
        <v>1</v>
      </c>
      <c r="AF10" s="9">
        <v>2</v>
      </c>
      <c r="AG10" s="9">
        <v>1</v>
      </c>
      <c r="AH10" s="9">
        <v>2</v>
      </c>
      <c r="AI10" s="9">
        <v>1</v>
      </c>
      <c r="AJ10" s="9">
        <v>2</v>
      </c>
      <c r="AK10" s="8"/>
      <c r="AL10" s="8"/>
      <c r="AM10" s="8"/>
      <c r="AN10" s="8"/>
      <c r="AO10" s="8"/>
      <c r="AP10" s="8"/>
    </row>
    <row r="11" spans="1:42" ht="15" customHeight="1">
      <c r="A11" s="1"/>
      <c r="B11" s="1"/>
      <c r="C11" s="1" t="s">
        <v>3</v>
      </c>
      <c r="D11" s="1"/>
      <c r="E11" s="1"/>
      <c r="F11" s="1"/>
      <c r="G11" s="1"/>
      <c r="H11" s="1"/>
      <c r="I11" s="1"/>
      <c r="J11" s="1"/>
      <c r="K11" s="1"/>
      <c r="L11" s="1" t="s">
        <v>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5</v>
      </c>
      <c r="Y11" s="1"/>
      <c r="Z11" s="1">
        <v>1</v>
      </c>
      <c r="AA11" s="1"/>
      <c r="AB11" s="1"/>
      <c r="AC11" s="1"/>
      <c r="AD11" s="1"/>
      <c r="AE11" s="1" t="s">
        <v>5</v>
      </c>
      <c r="AF11" s="1"/>
      <c r="AG11" s="1">
        <v>2</v>
      </c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>
        <v>1</v>
      </c>
      <c r="Y12" s="1"/>
      <c r="Z12" s="10">
        <v>0.6</v>
      </c>
      <c r="AA12" s="1"/>
      <c r="AB12" s="10">
        <v>0.4</v>
      </c>
      <c r="AC12" s="1"/>
      <c r="AD12" s="1"/>
      <c r="AE12" s="10">
        <v>1</v>
      </c>
      <c r="AF12" s="1"/>
      <c r="AG12" s="10">
        <v>0.6</v>
      </c>
      <c r="AH12" s="1"/>
      <c r="AI12" s="10">
        <v>0.4</v>
      </c>
      <c r="AJ12" s="1"/>
      <c r="AK12" s="1"/>
      <c r="AL12" s="1"/>
      <c r="AM12" s="1"/>
      <c r="AN12" s="1"/>
      <c r="AO12" s="1"/>
      <c r="AP12" s="1"/>
    </row>
    <row r="13" spans="1:4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0"/>
      <c r="U13" s="1"/>
      <c r="V13" s="1"/>
      <c r="W13" s="10"/>
      <c r="X13" s="1"/>
      <c r="Y13" s="10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42" ht="15" customHeight="1">
      <c r="A14" s="1"/>
      <c r="B14" s="1"/>
      <c r="C14" s="2" t="s">
        <v>6</v>
      </c>
      <c r="D14" s="2"/>
      <c r="E14" s="2"/>
      <c r="F14" s="2"/>
      <c r="G14" s="2"/>
      <c r="H14" s="2"/>
      <c r="I14" s="2"/>
      <c r="J14" s="121">
        <v>45956</v>
      </c>
      <c r="K14" s="122"/>
      <c r="L14" s="122"/>
      <c r="M14" s="122"/>
      <c r="N14" s="122"/>
      <c r="O14" s="122"/>
      <c r="P14" s="122"/>
      <c r="Q14" s="122"/>
      <c r="R14" s="11">
        <v>1</v>
      </c>
      <c r="S14" s="11"/>
      <c r="T14" s="12" t="s">
        <v>7</v>
      </c>
      <c r="U14" s="12"/>
      <c r="V14" s="12"/>
      <c r="W14" s="12"/>
      <c r="X14" s="12"/>
      <c r="Y14" s="12"/>
      <c r="Z14" s="12" t="s">
        <v>8</v>
      </c>
      <c r="AA14" s="12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4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42" ht="15" customHeight="1">
      <c r="A16" s="1"/>
      <c r="B16" s="13"/>
      <c r="C16" s="13" t="s">
        <v>9</v>
      </c>
      <c r="D16" s="13" t="s">
        <v>10</v>
      </c>
      <c r="E16" s="13" t="s">
        <v>11</v>
      </c>
      <c r="F16" s="13" t="s">
        <v>12</v>
      </c>
      <c r="G16" s="13"/>
      <c r="H16" s="13" t="s">
        <v>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15" customHeight="1">
      <c r="A17" s="1"/>
      <c r="B17" s="13" t="s">
        <v>14</v>
      </c>
      <c r="C17" s="14">
        <v>7</v>
      </c>
      <c r="D17" s="14">
        <v>1</v>
      </c>
      <c r="E17" s="14">
        <v>2</v>
      </c>
      <c r="F17" s="14">
        <v>0</v>
      </c>
      <c r="G17" s="13"/>
      <c r="H17" s="13">
        <f>SUM(C17:F17)</f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15" customHeight="1">
      <c r="A18" s="1"/>
      <c r="B18" s="13" t="s">
        <v>15</v>
      </c>
      <c r="C18" s="14"/>
      <c r="D18" s="14"/>
      <c r="E18" s="14"/>
      <c r="F18" s="14"/>
      <c r="G18" s="13"/>
      <c r="H18" s="13">
        <f>SUM(C18:D18)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15" customHeight="1">
      <c r="A20" s="1"/>
      <c r="B20" s="15">
        <v>1</v>
      </c>
      <c r="C20" s="16">
        <v>1</v>
      </c>
      <c r="D20" s="123" t="s">
        <v>16</v>
      </c>
      <c r="E20" s="12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9"/>
      <c r="Y20" s="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15" customHeight="1">
      <c r="A21" s="1"/>
      <c r="B21" s="15">
        <v>2</v>
      </c>
      <c r="C21" s="16">
        <v>0.6</v>
      </c>
      <c r="D21" s="123"/>
      <c r="E21" s="123"/>
      <c r="F21" s="1"/>
      <c r="G21" s="1"/>
      <c r="H21" s="1"/>
      <c r="I21" s="1"/>
      <c r="J21" s="1"/>
      <c r="K21" s="1"/>
      <c r="L21" s="1" t="s">
        <v>17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" customHeight="1">
      <c r="A22" s="1"/>
      <c r="B22" s="15">
        <v>3</v>
      </c>
      <c r="C22" s="16">
        <v>0.4</v>
      </c>
      <c r="D22" s="123"/>
      <c r="E22" s="123"/>
      <c r="F22" s="1"/>
      <c r="G22" s="1"/>
      <c r="H22" s="1"/>
      <c r="I22" s="1"/>
      <c r="J22" s="1"/>
      <c r="L22" s="1"/>
      <c r="M22" s="1">
        <v>1</v>
      </c>
      <c r="O22">
        <v>2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" customHeight="1">
      <c r="A23" s="1"/>
      <c r="B23" s="1"/>
      <c r="C23" s="1"/>
      <c r="D23" s="1"/>
      <c r="E23" s="1"/>
      <c r="F23" s="1"/>
      <c r="G23" s="1"/>
      <c r="H23" s="1"/>
      <c r="I23" s="1"/>
      <c r="J23" s="123" t="s">
        <v>16</v>
      </c>
      <c r="K23" s="1">
        <v>251</v>
      </c>
      <c r="L23" s="3">
        <v>45925</v>
      </c>
      <c r="M23" s="3">
        <v>45932</v>
      </c>
      <c r="N23" s="3">
        <v>45939</v>
      </c>
      <c r="O23" s="3">
        <v>45946</v>
      </c>
      <c r="P23" s="2"/>
      <c r="Q23" s="208">
        <v>1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" customHeight="1">
      <c r="A24" s="1"/>
      <c r="B24" s="15">
        <v>1</v>
      </c>
      <c r="C24" s="16">
        <v>1</v>
      </c>
      <c r="D24" s="123" t="s">
        <v>18</v>
      </c>
      <c r="E24" s="123"/>
      <c r="F24" s="1"/>
      <c r="G24" s="1"/>
      <c r="H24" s="1"/>
      <c r="I24" s="1"/>
      <c r="J24" s="123"/>
      <c r="K24" s="1">
        <v>252</v>
      </c>
      <c r="L24" s="3">
        <v>45919</v>
      </c>
      <c r="M24" s="3">
        <v>45926</v>
      </c>
      <c r="N24" s="3">
        <v>45933</v>
      </c>
      <c r="O24" s="3">
        <v>45940</v>
      </c>
      <c r="P24" s="2"/>
      <c r="Q24" s="208">
        <v>3</v>
      </c>
      <c r="R24" s="2"/>
      <c r="S24" s="2"/>
      <c r="T24" s="2"/>
      <c r="U24" s="2"/>
      <c r="V24" s="2"/>
      <c r="W24" s="18"/>
      <c r="X24" s="2"/>
      <c r="Y24" s="2"/>
      <c r="Z24" s="2"/>
      <c r="AA24" s="2"/>
      <c r="AB24" s="2"/>
      <c r="AC24" s="2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" customHeight="1">
      <c r="A25" s="1"/>
      <c r="B25" s="15">
        <v>2</v>
      </c>
      <c r="C25" s="16">
        <v>0.6</v>
      </c>
      <c r="D25" s="123"/>
      <c r="E25" s="123"/>
      <c r="F25" s="1"/>
      <c r="G25" s="1"/>
      <c r="H25" s="1"/>
      <c r="I25" s="1"/>
      <c r="J25" s="123"/>
      <c r="K25" s="1">
        <v>253</v>
      </c>
      <c r="L25" s="3">
        <v>45924</v>
      </c>
      <c r="M25" s="3">
        <v>45931</v>
      </c>
      <c r="N25" s="3">
        <v>45938</v>
      </c>
      <c r="O25" s="3">
        <v>45945</v>
      </c>
      <c r="P25" s="2"/>
      <c r="Q25" s="208">
        <v>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15" customHeight="1">
      <c r="A26" s="1"/>
      <c r="B26" s="15">
        <v>3</v>
      </c>
      <c r="C26" s="16">
        <v>0.4</v>
      </c>
      <c r="D26" s="123"/>
      <c r="E26" s="123"/>
      <c r="F26" s="1"/>
      <c r="G26" s="1"/>
      <c r="H26" s="1"/>
      <c r="I26" s="1"/>
      <c r="J26" s="123"/>
      <c r="K26" s="1">
        <v>254</v>
      </c>
      <c r="L26" s="3">
        <v>45924</v>
      </c>
      <c r="M26" s="3">
        <v>45931</v>
      </c>
      <c r="N26" s="3">
        <v>45938</v>
      </c>
      <c r="O26" s="3">
        <v>45945</v>
      </c>
      <c r="P26" s="2"/>
      <c r="Q26" s="208">
        <v>7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5" customHeight="1">
      <c r="A27" s="1"/>
      <c r="B27" s="1"/>
      <c r="C27" s="1"/>
      <c r="D27" s="1"/>
      <c r="E27" s="1"/>
      <c r="F27" s="1"/>
      <c r="G27" s="1"/>
      <c r="H27" s="1"/>
      <c r="I27" s="1"/>
      <c r="J27" s="123"/>
      <c r="K27" s="1">
        <v>255</v>
      </c>
      <c r="L27" s="3">
        <v>45926</v>
      </c>
      <c r="M27" s="3">
        <v>45933</v>
      </c>
      <c r="N27" s="3">
        <v>45940</v>
      </c>
      <c r="O27" s="3">
        <v>45945</v>
      </c>
      <c r="P27" s="2"/>
      <c r="Q27" s="208">
        <v>9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5" customHeight="1">
      <c r="A28" s="1"/>
      <c r="B28" s="1"/>
      <c r="C28" s="1"/>
      <c r="D28" s="1"/>
      <c r="E28" s="1"/>
      <c r="F28" s="1"/>
      <c r="G28" s="1"/>
      <c r="H28" s="1"/>
      <c r="I28" s="1"/>
      <c r="J28" s="123"/>
      <c r="K28" s="1">
        <v>256</v>
      </c>
      <c r="L28" s="3">
        <v>45925</v>
      </c>
      <c r="M28" s="3">
        <v>45932</v>
      </c>
      <c r="N28" s="3">
        <v>45939</v>
      </c>
      <c r="O28" s="3">
        <v>45946</v>
      </c>
      <c r="P28" s="2"/>
      <c r="Q28" s="208">
        <v>11</v>
      </c>
      <c r="R28" s="2"/>
      <c r="S28" s="2"/>
      <c r="T28" s="2"/>
      <c r="U28" s="2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" customHeight="1">
      <c r="A29" s="1"/>
      <c r="B29" s="1"/>
      <c r="C29" s="1"/>
      <c r="D29" s="1"/>
      <c r="E29" s="1"/>
      <c r="F29" s="1"/>
      <c r="G29" s="1"/>
      <c r="H29" s="1"/>
      <c r="I29" s="1"/>
      <c r="J29" s="123"/>
      <c r="K29" s="1">
        <v>257</v>
      </c>
      <c r="L29" s="3">
        <v>45924</v>
      </c>
      <c r="M29" s="3">
        <v>45931</v>
      </c>
      <c r="N29" s="3">
        <v>45938</v>
      </c>
      <c r="O29" s="3">
        <v>45952</v>
      </c>
      <c r="P29" s="2"/>
      <c r="Q29" s="208">
        <v>13</v>
      </c>
      <c r="R29" s="2"/>
      <c r="S29" s="2"/>
      <c r="T29" s="1"/>
      <c r="U29" s="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" hidden="1" customHeight="1">
      <c r="A30" s="1"/>
      <c r="B30" s="1"/>
      <c r="C30" s="1"/>
      <c r="D30" s="1"/>
      <c r="E30" s="1"/>
      <c r="F30" s="1"/>
      <c r="G30" s="1"/>
      <c r="H30" s="1"/>
      <c r="I30" s="1"/>
      <c r="J30" s="123"/>
      <c r="K30" s="1">
        <v>258</v>
      </c>
      <c r="L30" s="17">
        <v>45911</v>
      </c>
      <c r="M30" s="17">
        <v>45918</v>
      </c>
      <c r="N30" s="17">
        <v>45925</v>
      </c>
      <c r="O30" s="17">
        <v>45932</v>
      </c>
      <c r="P30" s="2"/>
      <c r="Q30" s="208">
        <v>15</v>
      </c>
      <c r="R30" s="2"/>
      <c r="S30" s="2"/>
      <c r="T30" s="1"/>
      <c r="U30" s="2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" hidden="1" customHeight="1">
      <c r="A31" s="1"/>
      <c r="B31" s="1"/>
      <c r="C31" s="1"/>
      <c r="D31" s="1"/>
      <c r="E31" s="1"/>
      <c r="F31" s="1"/>
      <c r="G31" s="1"/>
      <c r="H31" s="1"/>
      <c r="I31" s="19"/>
      <c r="J31" s="123"/>
      <c r="K31" s="1">
        <v>259</v>
      </c>
      <c r="L31" s="17">
        <v>45911</v>
      </c>
      <c r="M31" s="17">
        <v>45911</v>
      </c>
      <c r="N31" s="17">
        <v>45925</v>
      </c>
      <c r="O31" s="17">
        <v>45925</v>
      </c>
      <c r="P31" s="2"/>
      <c r="Q31" s="208">
        <v>17</v>
      </c>
      <c r="R31" s="2"/>
      <c r="S31" s="2"/>
      <c r="T31" s="1"/>
      <c r="U31" s="2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5" customHeight="1">
      <c r="A32" s="1"/>
      <c r="B32" s="1"/>
      <c r="C32" s="1"/>
      <c r="D32" s="1"/>
      <c r="E32" s="1"/>
      <c r="F32" s="1"/>
      <c r="G32" s="1"/>
      <c r="H32" s="1"/>
      <c r="I32" s="19"/>
      <c r="J32" s="1"/>
      <c r="K32" s="1"/>
      <c r="L32" s="1"/>
      <c r="M32" s="1">
        <v>1</v>
      </c>
      <c r="N32" s="20"/>
      <c r="O32" s="1">
        <v>2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5" customHeight="1">
      <c r="A33" s="1"/>
      <c r="B33" s="1"/>
      <c r="C33" s="1"/>
      <c r="D33" s="1"/>
      <c r="E33" s="1"/>
      <c r="F33" s="1"/>
      <c r="G33" s="1"/>
      <c r="H33" s="1"/>
      <c r="I33" s="19"/>
      <c r="J33" s="123" t="s">
        <v>18</v>
      </c>
      <c r="K33" s="1">
        <v>251</v>
      </c>
      <c r="L33" s="3">
        <v>45925</v>
      </c>
      <c r="M33" s="3">
        <v>45932</v>
      </c>
      <c r="N33" s="3">
        <v>45939</v>
      </c>
      <c r="O33" s="3">
        <v>45946</v>
      </c>
      <c r="P33" s="2"/>
      <c r="Q33" s="208">
        <v>2</v>
      </c>
      <c r="R33" s="2"/>
      <c r="S33" s="2"/>
      <c r="T33" s="2"/>
      <c r="U33" s="2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5" customHeight="1">
      <c r="A34" s="1"/>
      <c r="B34" s="1"/>
      <c r="C34" s="1"/>
      <c r="D34" s="1"/>
      <c r="E34" s="2"/>
      <c r="F34" s="2"/>
      <c r="G34" s="2"/>
      <c r="H34" s="2"/>
      <c r="I34" s="19"/>
      <c r="J34" s="123"/>
      <c r="K34" s="1">
        <v>252</v>
      </c>
      <c r="L34" s="3">
        <v>45919</v>
      </c>
      <c r="M34" s="3">
        <v>45926</v>
      </c>
      <c r="N34" s="3">
        <v>45933</v>
      </c>
      <c r="O34" s="3">
        <v>45940</v>
      </c>
      <c r="P34" s="2"/>
      <c r="Q34" s="208">
        <v>4</v>
      </c>
      <c r="R34" s="2"/>
      <c r="S34" s="2"/>
      <c r="T34" s="2"/>
      <c r="U34" s="2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" customHeight="1">
      <c r="A35" s="1"/>
      <c r="B35" s="1"/>
      <c r="C35" s="1"/>
      <c r="D35" s="1"/>
      <c r="E35" s="1"/>
      <c r="F35" s="1"/>
      <c r="G35" s="1"/>
      <c r="H35" s="1"/>
      <c r="I35" s="19"/>
      <c r="J35" s="123"/>
      <c r="K35" s="1">
        <v>253</v>
      </c>
      <c r="L35" s="3">
        <v>45924</v>
      </c>
      <c r="M35" s="3">
        <v>45931</v>
      </c>
      <c r="N35" s="3">
        <v>45938</v>
      </c>
      <c r="O35" s="3">
        <v>45945</v>
      </c>
      <c r="P35" s="2"/>
      <c r="Q35" s="208">
        <v>6</v>
      </c>
      <c r="R35" s="2"/>
      <c r="S35" s="2"/>
      <c r="T35" s="2"/>
      <c r="U35" s="2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5" customHeight="1">
      <c r="A36" s="1"/>
      <c r="B36" s="1"/>
      <c r="C36" s="1"/>
      <c r="D36" s="1"/>
      <c r="E36" s="1"/>
      <c r="F36" s="1"/>
      <c r="G36" s="1"/>
      <c r="H36" s="1"/>
      <c r="I36" s="19"/>
      <c r="J36" s="123"/>
      <c r="K36" s="1">
        <v>254</v>
      </c>
      <c r="L36" s="3">
        <v>45925</v>
      </c>
      <c r="M36" s="3">
        <v>45932</v>
      </c>
      <c r="N36" s="3">
        <v>45939</v>
      </c>
      <c r="O36" s="3">
        <v>45946</v>
      </c>
      <c r="P36" s="2"/>
      <c r="Q36" s="208">
        <v>8</v>
      </c>
      <c r="R36" s="2"/>
      <c r="S36" s="2"/>
      <c r="T36" s="2"/>
      <c r="U36" s="2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5" customHeight="1">
      <c r="A37" s="1"/>
      <c r="B37" s="1"/>
      <c r="C37" s="1"/>
      <c r="D37" s="1"/>
      <c r="E37" s="1"/>
      <c r="F37" s="1"/>
      <c r="G37" s="1"/>
      <c r="H37" s="1"/>
      <c r="I37" s="19"/>
      <c r="J37" s="123"/>
      <c r="K37" s="1">
        <v>255</v>
      </c>
      <c r="L37" s="3">
        <v>45925</v>
      </c>
      <c r="M37" s="3">
        <v>45932</v>
      </c>
      <c r="N37" s="3">
        <v>45939</v>
      </c>
      <c r="O37" s="3">
        <v>45946</v>
      </c>
      <c r="P37" s="2"/>
      <c r="Q37" s="208">
        <v>10</v>
      </c>
      <c r="R37" s="2"/>
      <c r="S37" s="2"/>
      <c r="T37" s="2"/>
      <c r="U37" s="2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" customHeight="1">
      <c r="A38" s="1"/>
      <c r="B38" s="1"/>
      <c r="C38" s="1"/>
      <c r="D38" s="1"/>
      <c r="E38" s="1"/>
      <c r="F38" s="1"/>
      <c r="G38" s="1"/>
      <c r="H38" s="1"/>
      <c r="I38" s="19"/>
      <c r="J38" s="123"/>
      <c r="K38" s="1">
        <v>256</v>
      </c>
      <c r="L38" s="3">
        <v>45922</v>
      </c>
      <c r="M38" s="3">
        <v>45929</v>
      </c>
      <c r="N38" s="3">
        <v>45936</v>
      </c>
      <c r="O38" s="3">
        <v>45943</v>
      </c>
      <c r="P38" s="2"/>
      <c r="Q38" s="208">
        <v>12</v>
      </c>
      <c r="R38" s="2"/>
      <c r="S38" s="2"/>
      <c r="T38" s="2"/>
      <c r="U38" s="2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5" customHeight="1">
      <c r="A39" s="1"/>
      <c r="B39" s="1"/>
      <c r="C39" s="1"/>
      <c r="D39" s="1"/>
      <c r="E39" s="1"/>
      <c r="F39" s="1"/>
      <c r="G39" s="1"/>
      <c r="H39" s="1"/>
      <c r="I39" s="1"/>
      <c r="J39" s="123"/>
      <c r="K39" s="1">
        <v>257</v>
      </c>
      <c r="L39" s="3">
        <v>45922</v>
      </c>
      <c r="M39" s="3">
        <v>45929</v>
      </c>
      <c r="N39" s="3">
        <v>45936</v>
      </c>
      <c r="O39" s="3">
        <v>45943</v>
      </c>
      <c r="P39" s="2"/>
      <c r="Q39" s="208">
        <v>14</v>
      </c>
      <c r="R39" s="2"/>
      <c r="S39" s="2"/>
      <c r="T39" s="1"/>
      <c r="U39" s="2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" hidden="1" customHeight="1">
      <c r="A40" s="1"/>
      <c r="B40" s="1"/>
      <c r="C40" s="1"/>
      <c r="D40" s="1"/>
      <c r="E40" s="1"/>
      <c r="F40" s="1"/>
      <c r="G40" s="1"/>
      <c r="H40" s="1"/>
      <c r="I40" s="1"/>
      <c r="J40" s="123"/>
      <c r="K40" s="1">
        <v>258</v>
      </c>
      <c r="L40" s="21">
        <v>45911</v>
      </c>
      <c r="M40" s="21">
        <v>45912</v>
      </c>
      <c r="N40" s="21">
        <v>45913</v>
      </c>
      <c r="O40" s="21">
        <v>45914</v>
      </c>
      <c r="P40" s="2"/>
      <c r="Q40" s="208">
        <v>16</v>
      </c>
      <c r="R40" s="2"/>
      <c r="S40" s="2"/>
      <c r="T40" s="1"/>
      <c r="U40" s="2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" hidden="1" customHeight="1">
      <c r="A41" s="1"/>
      <c r="B41" s="1"/>
      <c r="C41" s="1"/>
      <c r="D41" s="1"/>
      <c r="E41" s="1"/>
      <c r="F41" s="1"/>
      <c r="G41" s="1"/>
      <c r="H41" s="1"/>
      <c r="I41" s="1"/>
      <c r="J41" s="123"/>
      <c r="K41" s="1">
        <v>259</v>
      </c>
      <c r="L41" s="21">
        <v>45911</v>
      </c>
      <c r="M41" s="21">
        <v>45912</v>
      </c>
      <c r="N41" s="21">
        <v>45913</v>
      </c>
      <c r="O41" s="21">
        <v>45914</v>
      </c>
      <c r="P41" s="2"/>
      <c r="Q41" s="208">
        <v>18</v>
      </c>
      <c r="R41" s="2"/>
      <c r="S41" s="2"/>
      <c r="T41" s="1"/>
      <c r="U41" s="2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/>
    <row r="230" spans="1:38" ht="15.75" customHeight="1"/>
    <row r="231" spans="1:38" ht="15.75" customHeight="1"/>
    <row r="232" spans="1:38" ht="15.75" customHeight="1"/>
    <row r="233" spans="1:38" ht="15.75" customHeight="1"/>
    <row r="234" spans="1:38" ht="15.75" customHeight="1"/>
    <row r="235" spans="1:38" ht="15.75" customHeight="1"/>
    <row r="236" spans="1:38" ht="15.75" customHeight="1"/>
    <row r="237" spans="1:38" ht="15.75" customHeight="1"/>
    <row r="238" spans="1:38" ht="15.75" customHeight="1"/>
    <row r="239" spans="1:38" ht="15.75" customHeight="1"/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sortState ref="I31:I38">
    <sortCondition ref="I31:I38"/>
  </sortState>
  <mergeCells count="5">
    <mergeCell ref="J14:Q14"/>
    <mergeCell ref="D20:E22"/>
    <mergeCell ref="J23:J31"/>
    <mergeCell ref="D24:E26"/>
    <mergeCell ref="J33:J41"/>
  </mergeCells>
  <pageMargins left="0.7" right="0.7" top="0.75" bottom="0.75" header="0" footer="0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91"/>
  <sheetViews>
    <sheetView topLeftCell="V6" zoomScale="85" workbookViewId="0">
      <selection activeCell="AS5" sqref="AS5:AS32"/>
    </sheetView>
  </sheetViews>
  <sheetFormatPr defaultColWidth="9" defaultRowHeight="15" customHeight="1"/>
  <cols>
    <col min="1" max="1" width="4" style="23" bestFit="1" customWidth="1"/>
    <col min="2" max="2" width="5.140625" style="23" bestFit="1" customWidth="1"/>
    <col min="3" max="3" width="3.28515625" style="23" bestFit="1" customWidth="1"/>
    <col min="4" max="4" width="15.42578125" style="23" bestFit="1" customWidth="1"/>
    <col min="5" max="5" width="14.28515625" style="23" bestFit="1" customWidth="1"/>
    <col min="6" max="6" width="16.42578125" style="23" customWidth="1"/>
    <col min="7" max="7" width="4.42578125" style="23" bestFit="1" customWidth="1"/>
    <col min="8" max="8" width="4" style="23" bestFit="1" customWidth="1"/>
    <col min="9" max="9" width="5.140625" style="23" bestFit="1" customWidth="1"/>
    <col min="10" max="10" width="3.28515625" style="23" bestFit="1" customWidth="1"/>
    <col min="11" max="11" width="16.42578125" style="23" bestFit="1" customWidth="1"/>
    <col min="12" max="12" width="15.42578125" style="23" bestFit="1" customWidth="1"/>
    <col min="13" max="13" width="16.42578125" style="23" bestFit="1" customWidth="1"/>
    <col min="14" max="14" width="8" style="23" bestFit="1" customWidth="1"/>
    <col min="15" max="15" width="4.42578125" style="23" bestFit="1" customWidth="1"/>
    <col min="16" max="16" width="5.140625" style="23" bestFit="1" customWidth="1"/>
    <col min="17" max="17" width="4.42578125" style="23" bestFit="1" customWidth="1"/>
    <col min="18" max="18" width="12.140625" style="23" bestFit="1" customWidth="1"/>
    <col min="19" max="19" width="15.42578125" style="23" bestFit="1" customWidth="1"/>
    <col min="20" max="20" width="14" style="23" bestFit="1" customWidth="1"/>
    <col min="21" max="21" width="8" style="23" bestFit="1" customWidth="1"/>
    <col min="22" max="22" width="4.42578125" style="23" bestFit="1" customWidth="1"/>
    <col min="23" max="23" width="5.140625" style="23" bestFit="1" customWidth="1"/>
    <col min="24" max="24" width="4.42578125" style="23" bestFit="1" customWidth="1"/>
    <col min="25" max="25" width="13" style="23" bestFit="1" customWidth="1"/>
    <col min="26" max="26" width="15.42578125" style="23" bestFit="1" customWidth="1"/>
    <col min="27" max="27" width="15" style="23" bestFit="1" customWidth="1"/>
    <col min="28" max="28" width="14" style="23" bestFit="1" customWidth="1"/>
    <col min="29" max="29" width="4.42578125" style="23" bestFit="1" customWidth="1"/>
    <col min="30" max="30" width="5.140625" style="23" bestFit="1" customWidth="1"/>
    <col min="31" max="31" width="4.42578125" style="23" bestFit="1" customWidth="1"/>
    <col min="32" max="32" width="12.28515625" style="23" bestFit="1" customWidth="1"/>
    <col min="33" max="33" width="15.42578125" style="23" bestFit="1" customWidth="1"/>
    <col min="34" max="34" width="16.28515625" style="23" bestFit="1" customWidth="1"/>
    <col min="35" max="35" width="14" style="23" bestFit="1" customWidth="1"/>
    <col min="36" max="36" width="3.42578125" style="23" bestFit="1" customWidth="1"/>
    <col min="37" max="38" width="5.140625" style="23" bestFit="1" customWidth="1"/>
    <col min="39" max="39" width="11.7109375" style="23" customWidth="1"/>
    <col min="40" max="40" width="14.28515625" style="23" bestFit="1" customWidth="1"/>
    <col min="41" max="41" width="15.42578125" style="23" bestFit="1" customWidth="1"/>
    <col min="42" max="42" width="14" style="23" bestFit="1" customWidth="1"/>
    <col min="43" max="43" width="3.42578125" style="23" bestFit="1" customWidth="1"/>
    <col min="44" max="44" width="4.42578125" style="23" bestFit="1" customWidth="1"/>
    <col min="45" max="45" width="5.140625" style="23" bestFit="1" customWidth="1"/>
    <col min="46" max="46" width="4.42578125" style="23" bestFit="1" customWidth="1"/>
    <col min="47" max="47" width="14.28515625" style="23" bestFit="1" customWidth="1"/>
    <col min="48" max="48" width="15.42578125" style="23" bestFit="1" customWidth="1"/>
    <col min="49" max="49" width="13.7109375" style="23" bestFit="1" customWidth="1"/>
    <col min="50" max="50" width="14" style="23" bestFit="1" customWidth="1"/>
    <col min="51" max="51" width="4.42578125" style="23" bestFit="1" customWidth="1"/>
    <col min="52" max="52" width="5.140625" style="23" bestFit="1" customWidth="1"/>
    <col min="53" max="53" width="4.42578125" style="23" bestFit="1" customWidth="1"/>
    <col min="54" max="54" width="13.28515625" style="23" bestFit="1" customWidth="1"/>
    <col min="55" max="55" width="15.42578125" style="23" bestFit="1" customWidth="1"/>
    <col min="56" max="56" width="13.7109375" style="23" bestFit="1" customWidth="1"/>
    <col min="57" max="57" width="14" style="23" bestFit="1" customWidth="1"/>
    <col min="58" max="58" width="4.42578125" style="23" bestFit="1" customWidth="1"/>
    <col min="59" max="59" width="5.140625" style="23" bestFit="1" customWidth="1"/>
    <col min="60" max="60" width="4.42578125" style="23" bestFit="1" customWidth="1"/>
    <col min="61" max="61" width="13.7109375" style="23" bestFit="1" customWidth="1"/>
    <col min="62" max="62" width="15.42578125" style="23" bestFit="1" customWidth="1"/>
    <col min="63" max="64" width="14" style="23" bestFit="1" customWidth="1"/>
    <col min="65" max="65" width="3.7109375" style="23" bestFit="1" customWidth="1"/>
    <col min="66" max="66" width="4.140625" style="23" bestFit="1" customWidth="1"/>
    <col min="67" max="67" width="3.7109375" style="23" bestFit="1" customWidth="1"/>
    <col min="68" max="255" width="14" style="23" bestFit="1" customWidth="1"/>
    <col min="256" max="16384" width="9" style="23"/>
  </cols>
  <sheetData>
    <row r="1" spans="1:70" ht="13.5" customHeight="1">
      <c r="A1" s="124"/>
      <c r="B1" s="125"/>
      <c r="C1" s="125"/>
      <c r="D1" s="124"/>
      <c r="E1" s="125"/>
      <c r="F1" s="125"/>
      <c r="G1" s="24"/>
    </row>
    <row r="2" spans="1:70" ht="15.75" customHeight="1">
      <c r="A2" s="126" t="s">
        <v>19</v>
      </c>
      <c r="B2" s="128" t="s">
        <v>20</v>
      </c>
      <c r="C2" s="128" t="s">
        <v>21</v>
      </c>
      <c r="D2" s="130" t="s">
        <v>22</v>
      </c>
      <c r="E2" s="25" t="s">
        <v>23</v>
      </c>
      <c r="F2" s="26"/>
      <c r="G2" s="24"/>
      <c r="H2" s="132" t="s">
        <v>19</v>
      </c>
      <c r="I2" s="133" t="s">
        <v>20</v>
      </c>
      <c r="J2" s="133" t="s">
        <v>21</v>
      </c>
      <c r="K2" s="130">
        <v>252</v>
      </c>
      <c r="L2" s="25" t="s">
        <v>23</v>
      </c>
      <c r="M2" s="26"/>
      <c r="O2" s="132" t="s">
        <v>19</v>
      </c>
      <c r="P2" s="133" t="s">
        <v>20</v>
      </c>
      <c r="Q2" s="133" t="s">
        <v>21</v>
      </c>
      <c r="R2" s="130">
        <v>253</v>
      </c>
      <c r="S2" s="25" t="s">
        <v>23</v>
      </c>
      <c r="T2" s="26"/>
      <c r="V2" s="132" t="s">
        <v>19</v>
      </c>
      <c r="W2" s="133" t="s">
        <v>20</v>
      </c>
      <c r="X2" s="133" t="s">
        <v>21</v>
      </c>
      <c r="Y2" s="130">
        <v>254</v>
      </c>
      <c r="Z2" s="25" t="s">
        <v>23</v>
      </c>
      <c r="AA2" s="26"/>
      <c r="AC2" s="132" t="s">
        <v>19</v>
      </c>
      <c r="AD2" s="133" t="s">
        <v>20</v>
      </c>
      <c r="AE2" s="133" t="s">
        <v>21</v>
      </c>
      <c r="AF2" s="130">
        <v>255</v>
      </c>
      <c r="AG2" s="25" t="s">
        <v>23</v>
      </c>
      <c r="AH2" s="26"/>
      <c r="AJ2" s="134" t="s">
        <v>19</v>
      </c>
      <c r="AK2" s="136" t="s">
        <v>20</v>
      </c>
      <c r="AL2" s="136" t="s">
        <v>21</v>
      </c>
      <c r="AM2" s="130">
        <v>256</v>
      </c>
      <c r="AN2" s="25" t="s">
        <v>23</v>
      </c>
      <c r="AO2" s="26"/>
      <c r="AR2" s="132" t="s">
        <v>19</v>
      </c>
      <c r="AS2" s="133" t="s">
        <v>20</v>
      </c>
      <c r="AT2" s="133" t="s">
        <v>21</v>
      </c>
      <c r="AU2" s="130">
        <v>257</v>
      </c>
      <c r="AV2" s="25" t="s">
        <v>23</v>
      </c>
      <c r="AW2" s="26"/>
      <c r="AY2" s="132" t="s">
        <v>19</v>
      </c>
      <c r="AZ2" s="133" t="s">
        <v>20</v>
      </c>
      <c r="BA2" s="133" t="s">
        <v>21</v>
      </c>
      <c r="BB2" s="130">
        <v>258</v>
      </c>
      <c r="BC2" s="25" t="s">
        <v>23</v>
      </c>
      <c r="BD2" s="26"/>
      <c r="BF2" s="132" t="s">
        <v>19</v>
      </c>
      <c r="BG2" s="133" t="s">
        <v>20</v>
      </c>
      <c r="BH2" s="133" t="s">
        <v>21</v>
      </c>
      <c r="BI2" s="130">
        <v>259</v>
      </c>
      <c r="BJ2" s="25" t="s">
        <v>23</v>
      </c>
      <c r="BK2" s="26"/>
      <c r="BM2" s="132"/>
      <c r="BN2" s="133"/>
      <c r="BO2" s="133"/>
      <c r="BP2" s="130"/>
      <c r="BQ2" s="25"/>
      <c r="BR2" s="26"/>
    </row>
    <row r="3" spans="1:70" ht="40.5" customHeight="1">
      <c r="A3" s="127"/>
      <c r="B3" s="129"/>
      <c r="C3" s="129"/>
      <c r="D3" s="131"/>
      <c r="E3" s="27" t="s">
        <v>24</v>
      </c>
      <c r="F3" s="26"/>
      <c r="G3" s="24"/>
      <c r="H3" s="127"/>
      <c r="I3" s="129"/>
      <c r="J3" s="129"/>
      <c r="K3" s="131"/>
      <c r="L3" s="27" t="s">
        <v>24</v>
      </c>
      <c r="M3" s="26"/>
      <c r="O3" s="127"/>
      <c r="P3" s="129"/>
      <c r="Q3" s="129"/>
      <c r="R3" s="131"/>
      <c r="S3" s="27" t="s">
        <v>24</v>
      </c>
      <c r="T3" s="26"/>
      <c r="V3" s="127"/>
      <c r="W3" s="129"/>
      <c r="X3" s="129"/>
      <c r="Y3" s="131"/>
      <c r="Z3" s="27" t="s">
        <v>24</v>
      </c>
      <c r="AA3" s="26"/>
      <c r="AC3" s="127"/>
      <c r="AD3" s="129"/>
      <c r="AE3" s="129"/>
      <c r="AF3" s="131"/>
      <c r="AG3" s="27" t="s">
        <v>24</v>
      </c>
      <c r="AH3" s="26"/>
      <c r="AJ3" s="135"/>
      <c r="AK3" s="137"/>
      <c r="AL3" s="137"/>
      <c r="AM3" s="138"/>
      <c r="AN3" s="27" t="s">
        <v>24</v>
      </c>
      <c r="AO3" s="26"/>
      <c r="AR3" s="127"/>
      <c r="AS3" s="129"/>
      <c r="AT3" s="129"/>
      <c r="AU3" s="131"/>
      <c r="AV3" s="27" t="s">
        <v>24</v>
      </c>
      <c r="AW3" s="26"/>
      <c r="AY3" s="127"/>
      <c r="AZ3" s="129"/>
      <c r="BA3" s="129"/>
      <c r="BB3" s="131"/>
      <c r="BC3" s="27" t="s">
        <v>24</v>
      </c>
      <c r="BD3" s="26"/>
      <c r="BF3" s="127"/>
      <c r="BG3" s="129"/>
      <c r="BH3" s="129"/>
      <c r="BI3" s="131"/>
      <c r="BJ3" s="27" t="s">
        <v>24</v>
      </c>
      <c r="BK3" s="26"/>
      <c r="BM3" s="127"/>
      <c r="BN3" s="129"/>
      <c r="BO3" s="129"/>
      <c r="BP3" s="131"/>
      <c r="BQ3" s="27"/>
      <c r="BR3" s="26"/>
    </row>
    <row r="4" spans="1:70" ht="15.75" customHeight="1">
      <c r="A4" s="26"/>
      <c r="B4" s="26"/>
      <c r="C4" s="26"/>
      <c r="D4" s="28"/>
      <c r="E4" s="28"/>
      <c r="F4" s="28"/>
      <c r="G4" s="24"/>
      <c r="H4" s="26"/>
      <c r="I4" s="26"/>
      <c r="J4" s="26"/>
      <c r="K4" s="28"/>
      <c r="L4" s="28"/>
      <c r="M4" s="28"/>
      <c r="O4" s="26"/>
      <c r="P4" s="26"/>
      <c r="Q4" s="26"/>
      <c r="R4" s="28"/>
      <c r="S4" s="28"/>
      <c r="T4" s="28"/>
      <c r="V4" s="26"/>
      <c r="W4" s="26"/>
      <c r="X4" s="26"/>
      <c r="Y4" s="28"/>
      <c r="Z4" s="28"/>
      <c r="AA4" s="28"/>
      <c r="AC4" s="26"/>
      <c r="AD4" s="26"/>
      <c r="AE4" s="26"/>
      <c r="AF4" s="28"/>
      <c r="AG4" s="28"/>
      <c r="AH4" s="28"/>
      <c r="AJ4" s="26"/>
      <c r="AK4" s="26"/>
      <c r="AL4" s="26"/>
      <c r="AM4" s="26"/>
      <c r="AN4" s="28"/>
      <c r="AO4" s="28"/>
      <c r="AP4" s="28"/>
      <c r="AR4" s="26"/>
      <c r="AS4" s="26"/>
      <c r="AT4" s="26"/>
      <c r="AU4" s="28"/>
      <c r="AV4" s="28"/>
      <c r="AW4" s="28"/>
      <c r="AY4" s="26"/>
      <c r="AZ4" s="26"/>
      <c r="BA4" s="26"/>
      <c r="BB4" s="28"/>
      <c r="BC4" s="28"/>
      <c r="BD4" s="28"/>
      <c r="BF4" s="26"/>
      <c r="BG4" s="26"/>
      <c r="BH4" s="26"/>
      <c r="BI4" s="28"/>
      <c r="BJ4" s="28"/>
      <c r="BK4" s="28"/>
      <c r="BM4" s="26"/>
      <c r="BN4" s="26"/>
      <c r="BO4" s="26"/>
      <c r="BP4" s="28"/>
      <c r="BQ4" s="28"/>
      <c r="BR4" s="28"/>
    </row>
    <row r="5" spans="1:70" ht="19.899999999999999" customHeight="1">
      <c r="A5" s="29">
        <v>1</v>
      </c>
      <c r="B5" s="29">
        <v>131</v>
      </c>
      <c r="C5" s="30">
        <v>1</v>
      </c>
      <c r="D5" s="31" t="s">
        <v>25</v>
      </c>
      <c r="E5" s="31" t="s">
        <v>26</v>
      </c>
      <c r="F5" s="31" t="s">
        <v>27</v>
      </c>
      <c r="H5" s="29">
        <v>1</v>
      </c>
      <c r="I5" s="29">
        <v>171</v>
      </c>
      <c r="J5" s="30">
        <v>1</v>
      </c>
      <c r="K5" s="31" t="s">
        <v>28</v>
      </c>
      <c r="L5" s="31" t="s">
        <v>29</v>
      </c>
      <c r="M5" s="31" t="s">
        <v>30</v>
      </c>
      <c r="O5" s="29">
        <v>1</v>
      </c>
      <c r="P5" s="29">
        <v>211</v>
      </c>
      <c r="Q5" s="30">
        <v>1</v>
      </c>
      <c r="R5" s="31" t="s">
        <v>31</v>
      </c>
      <c r="S5" s="31" t="s">
        <v>32</v>
      </c>
      <c r="T5" s="31" t="s">
        <v>33</v>
      </c>
      <c r="V5" s="29">
        <v>1</v>
      </c>
      <c r="W5" s="29">
        <v>251</v>
      </c>
      <c r="X5" s="30">
        <v>1</v>
      </c>
      <c r="Y5" s="31" t="s">
        <v>34</v>
      </c>
      <c r="Z5" s="31" t="s">
        <v>35</v>
      </c>
      <c r="AA5" s="31" t="s">
        <v>36</v>
      </c>
      <c r="AC5" s="29">
        <v>1</v>
      </c>
      <c r="AD5" s="29">
        <v>291</v>
      </c>
      <c r="AE5" s="30">
        <v>1</v>
      </c>
      <c r="AF5" s="31" t="s">
        <v>37</v>
      </c>
      <c r="AG5" s="31" t="s">
        <v>38</v>
      </c>
      <c r="AH5" s="31" t="s">
        <v>39</v>
      </c>
      <c r="AJ5" s="29">
        <v>1</v>
      </c>
      <c r="AK5" s="29">
        <v>331</v>
      </c>
      <c r="AL5" s="30">
        <v>1</v>
      </c>
      <c r="AM5" s="31" t="s">
        <v>31</v>
      </c>
      <c r="AN5" s="31" t="s">
        <v>40</v>
      </c>
      <c r="AO5" s="31" t="s">
        <v>41</v>
      </c>
      <c r="AP5" s="31"/>
      <c r="AR5" s="29">
        <v>1</v>
      </c>
      <c r="AS5" s="29">
        <v>371</v>
      </c>
      <c r="AT5" s="30">
        <v>1</v>
      </c>
      <c r="AU5" s="31" t="s">
        <v>42</v>
      </c>
      <c r="AV5" s="31" t="s">
        <v>43</v>
      </c>
      <c r="AW5" s="31" t="s">
        <v>44</v>
      </c>
      <c r="AY5" s="29"/>
      <c r="AZ5" s="29"/>
      <c r="BA5" s="30"/>
      <c r="BB5" s="31"/>
      <c r="BC5" s="31"/>
      <c r="BD5" s="31"/>
      <c r="BF5" s="29"/>
      <c r="BG5" s="29"/>
      <c r="BH5" s="30"/>
      <c r="BI5" s="31"/>
      <c r="BJ5" s="31"/>
      <c r="BK5" s="31"/>
      <c r="BM5" s="32"/>
      <c r="BN5" s="33"/>
      <c r="BO5" s="32"/>
      <c r="BP5" s="34"/>
      <c r="BQ5" s="34"/>
      <c r="BR5" s="34"/>
    </row>
    <row r="6" spans="1:70" ht="19.899999999999999" customHeight="1">
      <c r="A6" s="29">
        <v>2</v>
      </c>
      <c r="B6" s="29">
        <v>132</v>
      </c>
      <c r="C6" s="30">
        <v>1</v>
      </c>
      <c r="D6" s="31" t="s">
        <v>45</v>
      </c>
      <c r="E6" s="31" t="s">
        <v>46</v>
      </c>
      <c r="F6" s="31" t="s">
        <v>47</v>
      </c>
      <c r="H6" s="29">
        <v>2</v>
      </c>
      <c r="I6" s="29">
        <v>172</v>
      </c>
      <c r="J6" s="30">
        <v>1</v>
      </c>
      <c r="K6" s="31" t="s">
        <v>48</v>
      </c>
      <c r="L6" s="31" t="s">
        <v>49</v>
      </c>
      <c r="M6" s="31" t="s">
        <v>50</v>
      </c>
      <c r="O6" s="29">
        <v>2</v>
      </c>
      <c r="P6" s="29">
        <v>212</v>
      </c>
      <c r="Q6" s="30">
        <v>1</v>
      </c>
      <c r="R6" s="31" t="s">
        <v>51</v>
      </c>
      <c r="S6" s="31" t="s">
        <v>52</v>
      </c>
      <c r="T6" s="31"/>
      <c r="V6" s="29">
        <v>2</v>
      </c>
      <c r="W6" s="29">
        <v>252</v>
      </c>
      <c r="X6" s="30">
        <v>1</v>
      </c>
      <c r="Y6" s="31" t="s">
        <v>53</v>
      </c>
      <c r="Z6" s="31" t="s">
        <v>54</v>
      </c>
      <c r="AA6" s="31" t="s">
        <v>33</v>
      </c>
      <c r="AC6" s="29">
        <v>2</v>
      </c>
      <c r="AD6" s="29">
        <v>292</v>
      </c>
      <c r="AE6" s="30">
        <v>1</v>
      </c>
      <c r="AF6" s="31" t="s">
        <v>55</v>
      </c>
      <c r="AG6" s="31" t="s">
        <v>29</v>
      </c>
      <c r="AH6" s="31" t="s">
        <v>56</v>
      </c>
      <c r="AJ6" s="29">
        <v>2</v>
      </c>
      <c r="AK6" s="29">
        <v>332</v>
      </c>
      <c r="AL6" s="30">
        <v>1</v>
      </c>
      <c r="AM6" s="31" t="s">
        <v>57</v>
      </c>
      <c r="AN6" s="31" t="s">
        <v>26</v>
      </c>
      <c r="AO6" s="31" t="s">
        <v>58</v>
      </c>
      <c r="AP6" s="35"/>
      <c r="AR6" s="29">
        <v>2</v>
      </c>
      <c r="AS6" s="29">
        <v>372</v>
      </c>
      <c r="AT6" s="30">
        <v>1</v>
      </c>
      <c r="AU6" s="31" t="s">
        <v>59</v>
      </c>
      <c r="AV6" s="31" t="s">
        <v>60</v>
      </c>
      <c r="AW6" s="31" t="s">
        <v>61</v>
      </c>
      <c r="AY6" s="29"/>
      <c r="AZ6" s="29"/>
      <c r="BA6" s="30"/>
      <c r="BB6" s="31"/>
      <c r="BC6" s="31"/>
      <c r="BD6" s="31"/>
      <c r="BF6" s="29"/>
      <c r="BG6" s="29"/>
      <c r="BH6" s="30"/>
      <c r="BI6" s="31"/>
      <c r="BJ6" s="31"/>
      <c r="BK6" s="31"/>
      <c r="BM6" s="32"/>
      <c r="BN6" s="33"/>
      <c r="BO6" s="32"/>
      <c r="BP6" s="34"/>
      <c r="BQ6" s="34"/>
      <c r="BR6" s="34"/>
    </row>
    <row r="7" spans="1:70" ht="19.899999999999999" customHeight="1">
      <c r="A7" s="29">
        <v>3</v>
      </c>
      <c r="B7" s="29">
        <v>133</v>
      </c>
      <c r="C7" s="30">
        <v>1</v>
      </c>
      <c r="D7" s="31" t="s">
        <v>62</v>
      </c>
      <c r="E7" s="31" t="s">
        <v>26</v>
      </c>
      <c r="F7" s="31" t="s">
        <v>63</v>
      </c>
      <c r="H7" s="29">
        <v>3</v>
      </c>
      <c r="I7" s="29">
        <v>173</v>
      </c>
      <c r="J7" s="30">
        <v>1</v>
      </c>
      <c r="K7" s="31" t="s">
        <v>64</v>
      </c>
      <c r="L7" s="31" t="s">
        <v>65</v>
      </c>
      <c r="M7" s="31" t="s">
        <v>33</v>
      </c>
      <c r="O7" s="29">
        <v>3</v>
      </c>
      <c r="P7" s="29">
        <v>213</v>
      </c>
      <c r="Q7" s="30">
        <v>1</v>
      </c>
      <c r="R7" s="31" t="s">
        <v>66</v>
      </c>
      <c r="S7" s="31" t="s">
        <v>67</v>
      </c>
      <c r="T7" s="31" t="s">
        <v>63</v>
      </c>
      <c r="V7" s="29">
        <v>3</v>
      </c>
      <c r="W7" s="29">
        <v>253</v>
      </c>
      <c r="X7" s="30">
        <v>1</v>
      </c>
      <c r="Y7" s="31" t="s">
        <v>68</v>
      </c>
      <c r="Z7" s="31" t="s">
        <v>29</v>
      </c>
      <c r="AA7" s="31" t="s">
        <v>36</v>
      </c>
      <c r="AC7" s="29">
        <v>3</v>
      </c>
      <c r="AD7" s="29">
        <v>293</v>
      </c>
      <c r="AE7" s="30">
        <v>1</v>
      </c>
      <c r="AF7" s="31" t="s">
        <v>69</v>
      </c>
      <c r="AG7" s="31" t="s">
        <v>70</v>
      </c>
      <c r="AH7" s="31" t="s">
        <v>27</v>
      </c>
      <c r="AJ7" s="29">
        <v>3</v>
      </c>
      <c r="AK7" s="29">
        <v>333</v>
      </c>
      <c r="AL7" s="30">
        <v>1</v>
      </c>
      <c r="AM7" s="31" t="s">
        <v>71</v>
      </c>
      <c r="AN7" s="31" t="s">
        <v>72</v>
      </c>
      <c r="AO7" s="31" t="s">
        <v>73</v>
      </c>
      <c r="AP7" s="31"/>
      <c r="AR7" s="29">
        <v>3</v>
      </c>
      <c r="AS7" s="29">
        <v>373</v>
      </c>
      <c r="AT7" s="30">
        <v>1</v>
      </c>
      <c r="AU7" s="31" t="s">
        <v>74</v>
      </c>
      <c r="AV7" s="31" t="s">
        <v>75</v>
      </c>
      <c r="AW7" s="31" t="s">
        <v>76</v>
      </c>
      <c r="AY7" s="29"/>
      <c r="AZ7" s="29"/>
      <c r="BA7" s="30"/>
      <c r="BB7" s="31"/>
      <c r="BC7" s="31"/>
      <c r="BD7" s="31"/>
      <c r="BF7" s="29"/>
      <c r="BG7" s="29"/>
      <c r="BH7" s="30"/>
      <c r="BI7" s="31"/>
      <c r="BJ7" s="31"/>
      <c r="BK7" s="31"/>
      <c r="BM7" s="32"/>
      <c r="BN7" s="33"/>
      <c r="BO7" s="32"/>
      <c r="BP7" s="34"/>
      <c r="BQ7" s="34"/>
      <c r="BR7" s="34"/>
    </row>
    <row r="8" spans="1:70" ht="19.899999999999999" customHeight="1">
      <c r="A8" s="29">
        <v>4</v>
      </c>
      <c r="B8" s="29">
        <v>134</v>
      </c>
      <c r="C8" s="30">
        <v>1</v>
      </c>
      <c r="D8" s="31" t="s">
        <v>77</v>
      </c>
      <c r="E8" s="31" t="s">
        <v>78</v>
      </c>
      <c r="F8" s="31" t="s">
        <v>36</v>
      </c>
      <c r="H8" s="29">
        <v>4</v>
      </c>
      <c r="I8" s="29">
        <v>174</v>
      </c>
      <c r="J8" s="30">
        <v>1</v>
      </c>
      <c r="K8" s="31" t="s">
        <v>79</v>
      </c>
      <c r="L8" s="31" t="s">
        <v>80</v>
      </c>
      <c r="M8" s="31" t="s">
        <v>81</v>
      </c>
      <c r="O8" s="29">
        <v>4</v>
      </c>
      <c r="P8" s="29">
        <v>214</v>
      </c>
      <c r="Q8" s="30">
        <v>1</v>
      </c>
      <c r="R8" s="31" t="s">
        <v>82</v>
      </c>
      <c r="S8" s="31" t="s">
        <v>83</v>
      </c>
      <c r="T8" s="31" t="s">
        <v>84</v>
      </c>
      <c r="V8" s="29">
        <v>4</v>
      </c>
      <c r="W8" s="29">
        <v>254</v>
      </c>
      <c r="X8" s="30">
        <v>1</v>
      </c>
      <c r="Y8" s="31" t="s">
        <v>85</v>
      </c>
      <c r="Z8" s="31" t="s">
        <v>40</v>
      </c>
      <c r="AA8" s="31" t="s">
        <v>27</v>
      </c>
      <c r="AC8" s="29">
        <v>4</v>
      </c>
      <c r="AD8" s="29">
        <v>294</v>
      </c>
      <c r="AE8" s="30">
        <v>1</v>
      </c>
      <c r="AF8" s="31" t="s">
        <v>86</v>
      </c>
      <c r="AG8" s="31" t="s">
        <v>87</v>
      </c>
      <c r="AH8" s="31" t="s">
        <v>88</v>
      </c>
      <c r="AJ8" s="29">
        <v>4</v>
      </c>
      <c r="AK8" s="29">
        <v>334</v>
      </c>
      <c r="AL8" s="30">
        <v>1</v>
      </c>
      <c r="AM8" s="31" t="s">
        <v>89</v>
      </c>
      <c r="AN8" s="31" t="s">
        <v>32</v>
      </c>
      <c r="AO8" s="31" t="s">
        <v>41</v>
      </c>
      <c r="AP8" s="31"/>
      <c r="AR8" s="29">
        <v>4</v>
      </c>
      <c r="AS8" s="29">
        <v>374</v>
      </c>
      <c r="AT8" s="30">
        <v>1</v>
      </c>
      <c r="AU8" s="31" t="s">
        <v>90</v>
      </c>
      <c r="AV8" s="31" t="s">
        <v>91</v>
      </c>
      <c r="AW8" s="31" t="s">
        <v>92</v>
      </c>
      <c r="AY8" s="29"/>
      <c r="AZ8" s="29"/>
      <c r="BA8" s="30"/>
      <c r="BB8" s="31"/>
      <c r="BC8" s="31"/>
      <c r="BD8" s="31"/>
      <c r="BF8" s="29"/>
      <c r="BG8" s="29"/>
      <c r="BH8" s="30"/>
      <c r="BI8" s="31"/>
      <c r="BJ8" s="31"/>
      <c r="BK8" s="31"/>
      <c r="BM8" s="32"/>
      <c r="BN8" s="33"/>
      <c r="BO8" s="32"/>
      <c r="BP8" s="34"/>
      <c r="BQ8" s="34"/>
      <c r="BR8" s="34"/>
    </row>
    <row r="9" spans="1:70" ht="19.899999999999999" customHeight="1">
      <c r="A9" s="29">
        <v>5</v>
      </c>
      <c r="B9" s="29">
        <v>135</v>
      </c>
      <c r="C9" s="30">
        <v>1</v>
      </c>
      <c r="D9" s="31" t="s">
        <v>93</v>
      </c>
      <c r="E9" s="31" t="s">
        <v>94</v>
      </c>
      <c r="F9" s="31" t="s">
        <v>41</v>
      </c>
      <c r="H9" s="29">
        <v>5</v>
      </c>
      <c r="I9" s="29">
        <v>175</v>
      </c>
      <c r="J9" s="30">
        <v>1</v>
      </c>
      <c r="K9" s="31" t="s">
        <v>95</v>
      </c>
      <c r="L9" s="31" t="s">
        <v>96</v>
      </c>
      <c r="M9" s="31" t="s">
        <v>97</v>
      </c>
      <c r="O9" s="29">
        <v>5</v>
      </c>
      <c r="P9" s="29">
        <v>215</v>
      </c>
      <c r="Q9" s="30">
        <v>1</v>
      </c>
      <c r="R9" s="31" t="s">
        <v>98</v>
      </c>
      <c r="S9" s="31" t="s">
        <v>99</v>
      </c>
      <c r="T9" s="31" t="s">
        <v>27</v>
      </c>
      <c r="V9" s="29">
        <v>5</v>
      </c>
      <c r="W9" s="29">
        <v>255</v>
      </c>
      <c r="X9" s="30">
        <v>1</v>
      </c>
      <c r="Y9" s="31" t="s">
        <v>100</v>
      </c>
      <c r="Z9" s="31" t="s">
        <v>101</v>
      </c>
      <c r="AA9" s="31" t="s">
        <v>102</v>
      </c>
      <c r="AC9" s="29">
        <v>5</v>
      </c>
      <c r="AD9" s="29">
        <v>295</v>
      </c>
      <c r="AE9" s="30">
        <v>1</v>
      </c>
      <c r="AF9" s="31" t="s">
        <v>103</v>
      </c>
      <c r="AG9" s="31" t="s">
        <v>104</v>
      </c>
      <c r="AH9" s="31" t="s">
        <v>105</v>
      </c>
      <c r="AJ9" s="29">
        <v>5</v>
      </c>
      <c r="AK9" s="29">
        <v>335</v>
      </c>
      <c r="AL9" s="30">
        <v>1</v>
      </c>
      <c r="AM9" s="31" t="s">
        <v>106</v>
      </c>
      <c r="AN9" s="31" t="s">
        <v>107</v>
      </c>
      <c r="AO9" s="31" t="s">
        <v>41</v>
      </c>
      <c r="AP9" s="31"/>
      <c r="AR9" s="29">
        <v>5</v>
      </c>
      <c r="AS9" s="29">
        <v>375</v>
      </c>
      <c r="AT9" s="30">
        <v>1</v>
      </c>
      <c r="AU9" s="31" t="s">
        <v>108</v>
      </c>
      <c r="AV9" s="31" t="s">
        <v>109</v>
      </c>
      <c r="AW9" s="31" t="s">
        <v>110</v>
      </c>
      <c r="AY9" s="29"/>
      <c r="AZ9" s="29"/>
      <c r="BA9" s="30"/>
      <c r="BB9" s="31"/>
      <c r="BC9" s="31"/>
      <c r="BD9" s="31"/>
      <c r="BF9" s="29"/>
      <c r="BG9" s="29"/>
      <c r="BH9" s="30"/>
      <c r="BI9" s="31"/>
      <c r="BJ9" s="31"/>
      <c r="BK9" s="31"/>
      <c r="BM9" s="32"/>
      <c r="BN9" s="33"/>
      <c r="BO9" s="32"/>
      <c r="BP9" s="34"/>
      <c r="BQ9" s="34"/>
      <c r="BR9" s="34"/>
    </row>
    <row r="10" spans="1:70" ht="19.899999999999999" customHeight="1">
      <c r="A10" s="29">
        <v>6</v>
      </c>
      <c r="B10" s="29">
        <v>136</v>
      </c>
      <c r="C10" s="30">
        <v>1</v>
      </c>
      <c r="D10" s="31" t="s">
        <v>111</v>
      </c>
      <c r="E10" s="31" t="s">
        <v>112</v>
      </c>
      <c r="F10" s="31" t="s">
        <v>33</v>
      </c>
      <c r="H10" s="29">
        <v>6</v>
      </c>
      <c r="I10" s="29">
        <v>176</v>
      </c>
      <c r="J10" s="30">
        <v>1</v>
      </c>
      <c r="K10" s="31" t="s">
        <v>113</v>
      </c>
      <c r="L10" s="31" t="s">
        <v>114</v>
      </c>
      <c r="M10" s="31" t="s">
        <v>115</v>
      </c>
      <c r="O10" s="29">
        <v>6</v>
      </c>
      <c r="P10" s="29">
        <v>216</v>
      </c>
      <c r="Q10" s="30">
        <v>1</v>
      </c>
      <c r="R10" s="31" t="s">
        <v>116</v>
      </c>
      <c r="S10" s="31" t="s">
        <v>117</v>
      </c>
      <c r="T10" s="31" t="s">
        <v>118</v>
      </c>
      <c r="V10" s="29">
        <v>6</v>
      </c>
      <c r="W10" s="29">
        <v>256</v>
      </c>
      <c r="X10" s="30">
        <v>1</v>
      </c>
      <c r="Y10" s="31" t="s">
        <v>119</v>
      </c>
      <c r="Z10" s="31" t="s">
        <v>120</v>
      </c>
      <c r="AA10" s="31" t="s">
        <v>33</v>
      </c>
      <c r="AC10" s="29">
        <v>6</v>
      </c>
      <c r="AD10" s="29">
        <v>296</v>
      </c>
      <c r="AE10" s="30">
        <v>1</v>
      </c>
      <c r="AF10" s="31" t="s">
        <v>121</v>
      </c>
      <c r="AG10" s="31" t="s">
        <v>122</v>
      </c>
      <c r="AH10" s="31" t="s">
        <v>123</v>
      </c>
      <c r="AJ10" s="29">
        <v>6</v>
      </c>
      <c r="AK10" s="29">
        <v>336</v>
      </c>
      <c r="AL10" s="30">
        <v>1</v>
      </c>
      <c r="AM10" s="31" t="s">
        <v>124</v>
      </c>
      <c r="AN10" s="31" t="s">
        <v>78</v>
      </c>
      <c r="AO10" s="31" t="s">
        <v>76</v>
      </c>
      <c r="AP10" s="35"/>
      <c r="AR10" s="29">
        <v>6</v>
      </c>
      <c r="AS10" s="29">
        <v>376</v>
      </c>
      <c r="AT10" s="30">
        <v>1</v>
      </c>
      <c r="AU10" s="31" t="s">
        <v>64</v>
      </c>
      <c r="AV10" s="31" t="s">
        <v>87</v>
      </c>
      <c r="AW10" s="31" t="s">
        <v>125</v>
      </c>
      <c r="AY10" s="29"/>
      <c r="AZ10" s="29"/>
      <c r="BA10" s="30"/>
      <c r="BB10" s="31"/>
      <c r="BC10" s="31"/>
      <c r="BD10" s="31"/>
      <c r="BF10" s="29"/>
      <c r="BG10" s="29"/>
      <c r="BH10" s="30"/>
      <c r="BI10" s="31"/>
      <c r="BJ10" s="31"/>
      <c r="BK10" s="31"/>
      <c r="BM10" s="32"/>
      <c r="BN10" s="33"/>
      <c r="BO10" s="32"/>
      <c r="BP10" s="34"/>
      <c r="BQ10" s="34"/>
      <c r="BR10" s="34"/>
    </row>
    <row r="11" spans="1:70" ht="19.899999999999999" customHeight="1">
      <c r="A11" s="29">
        <v>7</v>
      </c>
      <c r="B11" s="29">
        <v>137</v>
      </c>
      <c r="C11" s="30">
        <v>1</v>
      </c>
      <c r="D11" s="31" t="s">
        <v>126</v>
      </c>
      <c r="E11" s="31" t="s">
        <v>26</v>
      </c>
      <c r="F11" s="31" t="s">
        <v>58</v>
      </c>
      <c r="H11" s="29">
        <v>7</v>
      </c>
      <c r="I11" s="29">
        <v>177</v>
      </c>
      <c r="J11" s="30">
        <v>1</v>
      </c>
      <c r="K11" s="31" t="s">
        <v>127</v>
      </c>
      <c r="L11" s="31" t="s">
        <v>128</v>
      </c>
      <c r="M11" s="31" t="s">
        <v>129</v>
      </c>
      <c r="O11" s="29">
        <v>7</v>
      </c>
      <c r="P11" s="29">
        <v>217</v>
      </c>
      <c r="Q11" s="30">
        <v>1</v>
      </c>
      <c r="R11" s="31" t="s">
        <v>130</v>
      </c>
      <c r="S11" s="31" t="s">
        <v>131</v>
      </c>
      <c r="T11" s="31" t="s">
        <v>132</v>
      </c>
      <c r="V11" s="29">
        <v>7</v>
      </c>
      <c r="W11" s="29">
        <v>257</v>
      </c>
      <c r="X11" s="30">
        <v>1</v>
      </c>
      <c r="Y11" s="31" t="s">
        <v>133</v>
      </c>
      <c r="Z11" s="31" t="s">
        <v>134</v>
      </c>
      <c r="AA11" s="31" t="s">
        <v>125</v>
      </c>
      <c r="AC11" s="29">
        <v>7</v>
      </c>
      <c r="AD11" s="29">
        <v>297</v>
      </c>
      <c r="AE11" s="30">
        <v>1</v>
      </c>
      <c r="AF11" s="31" t="s">
        <v>135</v>
      </c>
      <c r="AG11" s="31" t="s">
        <v>40</v>
      </c>
      <c r="AH11" s="31" t="s">
        <v>136</v>
      </c>
      <c r="AJ11" s="29">
        <v>7</v>
      </c>
      <c r="AK11" s="29">
        <v>337</v>
      </c>
      <c r="AL11" s="30">
        <v>1</v>
      </c>
      <c r="AM11" s="31" t="s">
        <v>137</v>
      </c>
      <c r="AN11" s="31" t="s">
        <v>35</v>
      </c>
      <c r="AO11" s="31" t="s">
        <v>50</v>
      </c>
      <c r="AP11" s="31"/>
      <c r="AR11" s="29">
        <v>7</v>
      </c>
      <c r="AS11" s="29">
        <v>377</v>
      </c>
      <c r="AT11" s="30">
        <v>1</v>
      </c>
      <c r="AU11" s="31" t="s">
        <v>138</v>
      </c>
      <c r="AV11" s="31" t="s">
        <v>139</v>
      </c>
      <c r="AW11" s="31" t="s">
        <v>140</v>
      </c>
      <c r="AY11" s="29"/>
      <c r="AZ11" s="29"/>
      <c r="BA11" s="30"/>
      <c r="BB11" s="36"/>
      <c r="BC11" s="36"/>
      <c r="BD11" s="36"/>
      <c r="BF11" s="29"/>
      <c r="BG11" s="29"/>
      <c r="BH11" s="30"/>
      <c r="BI11" s="31"/>
      <c r="BJ11" s="31"/>
      <c r="BK11" s="31"/>
      <c r="BM11" s="32"/>
      <c r="BN11" s="33"/>
      <c r="BO11" s="32"/>
      <c r="BP11" s="34"/>
      <c r="BQ11" s="34"/>
      <c r="BR11" s="34"/>
    </row>
    <row r="12" spans="1:70" ht="19.899999999999999" customHeight="1">
      <c r="A12" s="29">
        <v>8</v>
      </c>
      <c r="B12" s="29">
        <v>138</v>
      </c>
      <c r="C12" s="30">
        <v>1</v>
      </c>
      <c r="D12" s="31" t="s">
        <v>141</v>
      </c>
      <c r="E12" s="31" t="s">
        <v>142</v>
      </c>
      <c r="F12" s="31" t="s">
        <v>123</v>
      </c>
      <c r="H12" s="29">
        <v>8</v>
      </c>
      <c r="I12" s="29">
        <v>178</v>
      </c>
      <c r="J12" s="30">
        <v>1</v>
      </c>
      <c r="K12" s="31" t="s">
        <v>143</v>
      </c>
      <c r="L12" s="31" t="s">
        <v>144</v>
      </c>
      <c r="M12" s="31" t="s">
        <v>115</v>
      </c>
      <c r="O12" s="29">
        <v>8</v>
      </c>
      <c r="P12" s="29">
        <v>218</v>
      </c>
      <c r="Q12" s="30">
        <v>1</v>
      </c>
      <c r="R12" s="31" t="s">
        <v>145</v>
      </c>
      <c r="S12" s="31" t="s">
        <v>146</v>
      </c>
      <c r="T12" s="31" t="s">
        <v>147</v>
      </c>
      <c r="V12" s="29">
        <v>8</v>
      </c>
      <c r="W12" s="29">
        <v>258</v>
      </c>
      <c r="X12" s="30">
        <v>1</v>
      </c>
      <c r="Y12" s="31" t="s">
        <v>148</v>
      </c>
      <c r="Z12" s="31" t="s">
        <v>60</v>
      </c>
      <c r="AA12" s="31" t="s">
        <v>41</v>
      </c>
      <c r="AC12" s="29">
        <v>8</v>
      </c>
      <c r="AD12" s="29">
        <v>298</v>
      </c>
      <c r="AE12" s="30">
        <v>1</v>
      </c>
      <c r="AF12" s="31" t="s">
        <v>149</v>
      </c>
      <c r="AG12" s="31" t="s">
        <v>150</v>
      </c>
      <c r="AH12" s="31" t="s">
        <v>151</v>
      </c>
      <c r="AJ12" s="29">
        <v>8</v>
      </c>
      <c r="AK12" s="29">
        <v>338</v>
      </c>
      <c r="AL12" s="30">
        <v>1</v>
      </c>
      <c r="AM12" s="31" t="s">
        <v>152</v>
      </c>
      <c r="AN12" s="31" t="s">
        <v>153</v>
      </c>
      <c r="AO12" s="31" t="s">
        <v>151</v>
      </c>
      <c r="AP12" s="31"/>
      <c r="AR12" s="29">
        <v>8</v>
      </c>
      <c r="AS12" s="29">
        <v>378</v>
      </c>
      <c r="AT12" s="30">
        <v>1</v>
      </c>
      <c r="AU12" s="31" t="s">
        <v>154</v>
      </c>
      <c r="AV12" s="31" t="s">
        <v>155</v>
      </c>
      <c r="AW12" s="31" t="s">
        <v>156</v>
      </c>
      <c r="AY12" s="29"/>
      <c r="AZ12" s="29"/>
      <c r="BA12" s="30"/>
      <c r="BB12" s="31"/>
      <c r="BC12" s="31"/>
      <c r="BD12" s="31"/>
      <c r="BF12" s="29"/>
      <c r="BG12" s="29"/>
      <c r="BH12" s="30"/>
      <c r="BI12" s="31"/>
      <c r="BJ12" s="31"/>
      <c r="BK12" s="31"/>
      <c r="BM12" s="32"/>
      <c r="BN12" s="33"/>
      <c r="BO12" s="32"/>
      <c r="BP12" s="34"/>
      <c r="BQ12" s="34"/>
      <c r="BR12" s="34"/>
    </row>
    <row r="13" spans="1:70" ht="19.899999999999999" customHeight="1">
      <c r="A13" s="29">
        <v>9</v>
      </c>
      <c r="B13" s="29">
        <v>139</v>
      </c>
      <c r="C13" s="30">
        <v>1</v>
      </c>
      <c r="D13" s="31" t="s">
        <v>157</v>
      </c>
      <c r="E13" s="31" t="s">
        <v>114</v>
      </c>
      <c r="F13" s="31" t="s">
        <v>158</v>
      </c>
      <c r="H13" s="29">
        <v>9</v>
      </c>
      <c r="I13" s="29">
        <v>179</v>
      </c>
      <c r="J13" s="30">
        <v>1</v>
      </c>
      <c r="K13" s="31" t="s">
        <v>159</v>
      </c>
      <c r="L13" s="31" t="s">
        <v>160</v>
      </c>
      <c r="M13" s="31" t="s">
        <v>161</v>
      </c>
      <c r="O13" s="29">
        <v>9</v>
      </c>
      <c r="P13" s="29">
        <v>219</v>
      </c>
      <c r="Q13" s="30">
        <v>1</v>
      </c>
      <c r="R13" s="31" t="s">
        <v>162</v>
      </c>
      <c r="S13" s="31" t="s">
        <v>163</v>
      </c>
      <c r="T13" s="31" t="s">
        <v>41</v>
      </c>
      <c r="V13" s="29">
        <v>9</v>
      </c>
      <c r="W13" s="29">
        <v>259</v>
      </c>
      <c r="X13" s="30">
        <v>1</v>
      </c>
      <c r="Y13" s="31" t="s">
        <v>164</v>
      </c>
      <c r="Z13" s="31" t="s">
        <v>165</v>
      </c>
      <c r="AA13" s="31" t="s">
        <v>166</v>
      </c>
      <c r="AC13" s="29">
        <v>9</v>
      </c>
      <c r="AD13" s="29">
        <v>299</v>
      </c>
      <c r="AE13" s="30">
        <v>1</v>
      </c>
      <c r="AF13" s="31" t="s">
        <v>98</v>
      </c>
      <c r="AG13" s="31" t="s">
        <v>99</v>
      </c>
      <c r="AH13" s="31" t="s">
        <v>167</v>
      </c>
      <c r="AJ13" s="29">
        <v>9</v>
      </c>
      <c r="AK13" s="29">
        <v>339</v>
      </c>
      <c r="AL13" s="30">
        <v>1</v>
      </c>
      <c r="AM13" s="31" t="s">
        <v>168</v>
      </c>
      <c r="AN13" s="31" t="s">
        <v>169</v>
      </c>
      <c r="AO13" s="31" t="s">
        <v>125</v>
      </c>
      <c r="AP13" s="31"/>
      <c r="AR13" s="29">
        <v>9</v>
      </c>
      <c r="AS13" s="29">
        <v>379</v>
      </c>
      <c r="AT13" s="30">
        <v>1</v>
      </c>
      <c r="AU13" s="31" t="s">
        <v>170</v>
      </c>
      <c r="AV13" s="31" t="s">
        <v>153</v>
      </c>
      <c r="AW13" s="31" t="s">
        <v>158</v>
      </c>
      <c r="AY13" s="29"/>
      <c r="AZ13" s="29"/>
      <c r="BA13" s="30"/>
      <c r="BB13" s="31"/>
      <c r="BC13" s="31"/>
      <c r="BD13" s="31"/>
      <c r="BF13" s="29"/>
      <c r="BG13" s="29"/>
      <c r="BH13" s="30"/>
      <c r="BI13" s="31"/>
      <c r="BJ13" s="31"/>
      <c r="BK13" s="31"/>
      <c r="BM13" s="32"/>
      <c r="BN13" s="33"/>
      <c r="BO13" s="32"/>
      <c r="BP13" s="34"/>
      <c r="BQ13" s="34"/>
      <c r="BR13" s="34"/>
    </row>
    <row r="14" spans="1:70" ht="19.899999999999999" customHeight="1">
      <c r="A14" s="29">
        <v>10</v>
      </c>
      <c r="B14" s="29">
        <v>140</v>
      </c>
      <c r="C14" s="30">
        <v>1</v>
      </c>
      <c r="D14" s="31" t="s">
        <v>171</v>
      </c>
      <c r="E14" s="31" t="s">
        <v>172</v>
      </c>
      <c r="F14" s="31" t="s">
        <v>88</v>
      </c>
      <c r="H14" s="29">
        <v>10</v>
      </c>
      <c r="I14" s="29">
        <v>180</v>
      </c>
      <c r="J14" s="30">
        <v>1</v>
      </c>
      <c r="K14" s="31" t="s">
        <v>173</v>
      </c>
      <c r="L14" s="31" t="s">
        <v>174</v>
      </c>
      <c r="M14" s="31" t="s">
        <v>129</v>
      </c>
      <c r="O14" s="29">
        <v>10</v>
      </c>
      <c r="P14" s="29">
        <v>220</v>
      </c>
      <c r="Q14" s="30">
        <v>1</v>
      </c>
      <c r="R14" s="31" t="s">
        <v>175</v>
      </c>
      <c r="S14" s="31" t="s">
        <v>32</v>
      </c>
      <c r="T14" s="31" t="s">
        <v>176</v>
      </c>
      <c r="V14" s="29">
        <v>10</v>
      </c>
      <c r="W14" s="29">
        <v>260</v>
      </c>
      <c r="X14" s="30">
        <v>1</v>
      </c>
      <c r="Y14" s="31" t="s">
        <v>177</v>
      </c>
      <c r="Z14" s="31" t="s">
        <v>178</v>
      </c>
      <c r="AA14" s="31" t="s">
        <v>158</v>
      </c>
      <c r="AC14" s="29">
        <v>10</v>
      </c>
      <c r="AD14" s="29">
        <v>300</v>
      </c>
      <c r="AE14" s="30">
        <v>1</v>
      </c>
      <c r="AF14" s="31" t="s">
        <v>179</v>
      </c>
      <c r="AG14" s="31" t="s">
        <v>180</v>
      </c>
      <c r="AH14" s="31" t="s">
        <v>30</v>
      </c>
      <c r="AJ14" s="29">
        <v>10</v>
      </c>
      <c r="AK14" s="29">
        <v>340</v>
      </c>
      <c r="AL14" s="30">
        <v>1</v>
      </c>
      <c r="AM14" s="31" t="s">
        <v>181</v>
      </c>
      <c r="AN14" s="31" t="s">
        <v>46</v>
      </c>
      <c r="AO14" s="31" t="s">
        <v>182</v>
      </c>
      <c r="AP14" s="35"/>
      <c r="AR14" s="29">
        <v>10</v>
      </c>
      <c r="AS14" s="29">
        <v>380</v>
      </c>
      <c r="AT14" s="30">
        <v>1</v>
      </c>
      <c r="AU14" s="31" t="s">
        <v>183</v>
      </c>
      <c r="AV14" s="31" t="s">
        <v>184</v>
      </c>
      <c r="AW14" s="31" t="s">
        <v>176</v>
      </c>
      <c r="AY14" s="29"/>
      <c r="AZ14" s="29"/>
      <c r="BA14" s="30"/>
      <c r="BB14" s="31"/>
      <c r="BC14" s="31"/>
      <c r="BD14" s="31"/>
      <c r="BF14" s="29"/>
      <c r="BG14" s="29"/>
      <c r="BH14" s="30"/>
      <c r="BI14" s="31"/>
      <c r="BJ14" s="31"/>
      <c r="BK14" s="31"/>
      <c r="BM14" s="32"/>
      <c r="BN14" s="33"/>
      <c r="BO14" s="32"/>
      <c r="BP14" s="34"/>
      <c r="BQ14" s="34"/>
      <c r="BR14" s="34"/>
    </row>
    <row r="15" spans="1:70" ht="19.899999999999999" customHeight="1">
      <c r="A15" s="29">
        <v>11</v>
      </c>
      <c r="B15" s="29">
        <v>141</v>
      </c>
      <c r="C15" s="30">
        <v>1</v>
      </c>
      <c r="D15" s="31" t="s">
        <v>185</v>
      </c>
      <c r="E15" s="31" t="s">
        <v>144</v>
      </c>
      <c r="F15" s="31" t="s">
        <v>156</v>
      </c>
      <c r="H15" s="29">
        <v>11</v>
      </c>
      <c r="I15" s="29">
        <v>181</v>
      </c>
      <c r="J15" s="30">
        <v>1</v>
      </c>
      <c r="K15" s="31" t="s">
        <v>186</v>
      </c>
      <c r="L15" s="31" t="s">
        <v>153</v>
      </c>
      <c r="M15" s="31" t="s">
        <v>27</v>
      </c>
      <c r="O15" s="29">
        <v>11</v>
      </c>
      <c r="P15" s="29">
        <v>221</v>
      </c>
      <c r="Q15" s="30">
        <v>1</v>
      </c>
      <c r="R15" s="31" t="s">
        <v>187</v>
      </c>
      <c r="S15" s="31" t="s">
        <v>188</v>
      </c>
      <c r="T15" s="31" t="s">
        <v>189</v>
      </c>
      <c r="V15" s="29">
        <v>11</v>
      </c>
      <c r="W15" s="29">
        <v>261</v>
      </c>
      <c r="X15" s="30">
        <v>1</v>
      </c>
      <c r="Y15" s="31" t="s">
        <v>190</v>
      </c>
      <c r="Z15" s="31" t="s">
        <v>178</v>
      </c>
      <c r="AA15" s="31" t="s">
        <v>58</v>
      </c>
      <c r="AC15" s="29">
        <v>11</v>
      </c>
      <c r="AD15" s="29">
        <v>301</v>
      </c>
      <c r="AE15" s="30">
        <v>1</v>
      </c>
      <c r="AF15" s="31" t="s">
        <v>191</v>
      </c>
      <c r="AG15" s="31" t="s">
        <v>120</v>
      </c>
      <c r="AH15" s="31" t="s">
        <v>176</v>
      </c>
      <c r="AJ15" s="29">
        <v>11</v>
      </c>
      <c r="AK15" s="29">
        <v>341</v>
      </c>
      <c r="AL15" s="30">
        <v>1</v>
      </c>
      <c r="AM15" s="31" t="s">
        <v>192</v>
      </c>
      <c r="AN15" s="31" t="s">
        <v>144</v>
      </c>
      <c r="AO15" s="31" t="s">
        <v>129</v>
      </c>
      <c r="AP15" s="37"/>
      <c r="AR15" s="29">
        <v>11</v>
      </c>
      <c r="AS15" s="29">
        <v>381</v>
      </c>
      <c r="AT15" s="30">
        <v>1</v>
      </c>
      <c r="AU15" s="31" t="s">
        <v>157</v>
      </c>
      <c r="AV15" s="31" t="s">
        <v>32</v>
      </c>
      <c r="AW15" s="31" t="s">
        <v>193</v>
      </c>
      <c r="AY15" s="29"/>
      <c r="AZ15" s="29"/>
      <c r="BA15" s="30"/>
      <c r="BB15" s="31"/>
      <c r="BC15" s="31"/>
      <c r="BD15" s="31"/>
      <c r="BF15" s="29"/>
      <c r="BG15" s="29"/>
      <c r="BH15" s="30"/>
      <c r="BI15" s="31"/>
      <c r="BJ15" s="31"/>
      <c r="BK15" s="31"/>
      <c r="BM15" s="32"/>
      <c r="BN15" s="33"/>
      <c r="BO15" s="32"/>
      <c r="BP15" s="34"/>
      <c r="BQ15" s="34"/>
      <c r="BR15" s="34"/>
    </row>
    <row r="16" spans="1:70" ht="19.899999999999999" customHeight="1">
      <c r="A16" s="29">
        <v>12</v>
      </c>
      <c r="B16" s="29">
        <v>142</v>
      </c>
      <c r="C16" s="30">
        <v>1</v>
      </c>
      <c r="D16" s="31" t="s">
        <v>194</v>
      </c>
      <c r="E16" s="31" t="s">
        <v>195</v>
      </c>
      <c r="F16" s="31" t="s">
        <v>196</v>
      </c>
      <c r="H16" s="29">
        <v>12</v>
      </c>
      <c r="I16" s="29">
        <v>182</v>
      </c>
      <c r="J16" s="30">
        <v>1</v>
      </c>
      <c r="K16" s="31" t="s">
        <v>181</v>
      </c>
      <c r="L16" s="31" t="s">
        <v>197</v>
      </c>
      <c r="M16" s="31" t="s">
        <v>198</v>
      </c>
      <c r="O16" s="29">
        <v>12</v>
      </c>
      <c r="P16" s="29">
        <v>222</v>
      </c>
      <c r="Q16" s="30">
        <v>1</v>
      </c>
      <c r="R16" s="31" t="s">
        <v>199</v>
      </c>
      <c r="S16" s="31" t="s">
        <v>80</v>
      </c>
      <c r="T16" s="31" t="s">
        <v>200</v>
      </c>
      <c r="V16" s="29">
        <v>12</v>
      </c>
      <c r="W16" s="29">
        <v>262</v>
      </c>
      <c r="X16" s="30">
        <v>1</v>
      </c>
      <c r="Y16" s="31" t="s">
        <v>201</v>
      </c>
      <c r="Z16" s="31" t="s">
        <v>54</v>
      </c>
      <c r="AA16" s="31" t="s">
        <v>129</v>
      </c>
      <c r="AC16" s="29">
        <v>12</v>
      </c>
      <c r="AD16" s="29">
        <v>302</v>
      </c>
      <c r="AE16" s="30">
        <v>1</v>
      </c>
      <c r="AF16" s="31" t="s">
        <v>202</v>
      </c>
      <c r="AG16" s="31" t="s">
        <v>52</v>
      </c>
      <c r="AH16" s="31" t="s">
        <v>158</v>
      </c>
      <c r="AJ16" s="29">
        <v>12</v>
      </c>
      <c r="AK16" s="29">
        <v>342</v>
      </c>
      <c r="AL16" s="30">
        <v>1</v>
      </c>
      <c r="AM16" s="31" t="s">
        <v>203</v>
      </c>
      <c r="AN16" s="31" t="s">
        <v>155</v>
      </c>
      <c r="AO16" s="31" t="s">
        <v>125</v>
      </c>
      <c r="AP16" s="31"/>
      <c r="AR16" s="29">
        <v>12</v>
      </c>
      <c r="AS16" s="29">
        <v>382</v>
      </c>
      <c r="AT16" s="30">
        <v>1</v>
      </c>
      <c r="AU16" s="31" t="s">
        <v>204</v>
      </c>
      <c r="AV16" s="31" t="s">
        <v>205</v>
      </c>
      <c r="AW16" s="31" t="s">
        <v>206</v>
      </c>
      <c r="AY16" s="29"/>
      <c r="AZ16" s="29"/>
      <c r="BA16" s="30"/>
      <c r="BB16" s="38"/>
      <c r="BC16" s="38"/>
      <c r="BD16" s="38"/>
      <c r="BF16" s="29"/>
      <c r="BG16" s="29"/>
      <c r="BH16" s="30"/>
      <c r="BI16" s="31"/>
      <c r="BJ16" s="31"/>
      <c r="BK16" s="31"/>
      <c r="BM16" s="32"/>
      <c r="BN16" s="33"/>
      <c r="BO16" s="32"/>
      <c r="BP16" s="34"/>
      <c r="BQ16" s="34"/>
      <c r="BR16" s="34"/>
    </row>
    <row r="17" spans="1:70" ht="19.899999999999999" customHeight="1">
      <c r="A17" s="29">
        <v>13</v>
      </c>
      <c r="B17" s="29">
        <v>143</v>
      </c>
      <c r="C17" s="30">
        <v>1</v>
      </c>
      <c r="D17" s="31" t="s">
        <v>207</v>
      </c>
      <c r="E17" s="31" t="s">
        <v>155</v>
      </c>
      <c r="F17" s="31" t="s">
        <v>73</v>
      </c>
      <c r="H17" s="29">
        <v>13</v>
      </c>
      <c r="I17" s="29">
        <v>183</v>
      </c>
      <c r="J17" s="30">
        <v>1</v>
      </c>
      <c r="K17" s="31" t="s">
        <v>208</v>
      </c>
      <c r="L17" s="31" t="s">
        <v>52</v>
      </c>
      <c r="M17" s="31" t="s">
        <v>41</v>
      </c>
      <c r="O17" s="29">
        <v>13</v>
      </c>
      <c r="P17" s="29">
        <v>223</v>
      </c>
      <c r="Q17" s="30">
        <v>1</v>
      </c>
      <c r="R17" s="31" t="s">
        <v>209</v>
      </c>
      <c r="S17" s="31" t="s">
        <v>210</v>
      </c>
      <c r="T17" s="31" t="s">
        <v>211</v>
      </c>
      <c r="V17" s="29">
        <v>13</v>
      </c>
      <c r="W17" s="29">
        <v>263</v>
      </c>
      <c r="X17" s="30">
        <v>1</v>
      </c>
      <c r="Y17" s="31" t="s">
        <v>212</v>
      </c>
      <c r="Z17" s="31" t="s">
        <v>134</v>
      </c>
      <c r="AA17" s="31" t="s">
        <v>27</v>
      </c>
      <c r="AC17" s="29">
        <v>13</v>
      </c>
      <c r="AD17" s="29">
        <v>303</v>
      </c>
      <c r="AE17" s="30">
        <v>1</v>
      </c>
      <c r="AF17" s="31" t="s">
        <v>213</v>
      </c>
      <c r="AG17" s="31" t="s">
        <v>29</v>
      </c>
      <c r="AH17" s="31" t="s">
        <v>123</v>
      </c>
      <c r="AJ17" s="29">
        <v>13</v>
      </c>
      <c r="AK17" s="29">
        <v>343</v>
      </c>
      <c r="AL17" s="30">
        <v>1</v>
      </c>
      <c r="AM17" s="31" t="s">
        <v>214</v>
      </c>
      <c r="AN17" s="31" t="s">
        <v>215</v>
      </c>
      <c r="AO17" s="31" t="s">
        <v>129</v>
      </c>
      <c r="AP17" s="35"/>
      <c r="AR17" s="29">
        <v>13</v>
      </c>
      <c r="AS17" s="29">
        <v>383</v>
      </c>
      <c r="AT17" s="30">
        <v>1</v>
      </c>
      <c r="AU17" s="31" t="s">
        <v>216</v>
      </c>
      <c r="AV17" s="31" t="s">
        <v>217</v>
      </c>
      <c r="AW17" s="31" t="s">
        <v>218</v>
      </c>
      <c r="AY17" s="29"/>
      <c r="AZ17" s="29"/>
      <c r="BA17" s="30"/>
      <c r="BB17" s="31"/>
      <c r="BC17" s="31"/>
      <c r="BD17" s="31"/>
      <c r="BF17" s="29"/>
      <c r="BG17" s="29"/>
      <c r="BH17" s="30"/>
      <c r="BI17" s="31"/>
      <c r="BJ17" s="31"/>
      <c r="BK17" s="31"/>
      <c r="BM17" s="32"/>
      <c r="BN17" s="33"/>
      <c r="BO17" s="32"/>
      <c r="BP17" s="34"/>
      <c r="BQ17" s="34"/>
      <c r="BR17" s="34"/>
    </row>
    <row r="18" spans="1:70" ht="19.899999999999999" customHeight="1">
      <c r="A18" s="29">
        <v>14</v>
      </c>
      <c r="B18" s="29">
        <v>144</v>
      </c>
      <c r="C18" s="30">
        <v>1</v>
      </c>
      <c r="D18" s="31" t="s">
        <v>219</v>
      </c>
      <c r="E18" s="31" t="s">
        <v>220</v>
      </c>
      <c r="F18" s="31" t="s">
        <v>221</v>
      </c>
      <c r="H18" s="29">
        <v>14</v>
      </c>
      <c r="I18" s="29">
        <v>184</v>
      </c>
      <c r="J18" s="30">
        <v>1</v>
      </c>
      <c r="K18" s="31" t="s">
        <v>222</v>
      </c>
      <c r="L18" s="31" t="s">
        <v>223</v>
      </c>
      <c r="M18" s="31" t="s">
        <v>224</v>
      </c>
      <c r="O18" s="29">
        <v>14</v>
      </c>
      <c r="P18" s="29">
        <v>224</v>
      </c>
      <c r="Q18" s="30">
        <v>1</v>
      </c>
      <c r="R18" s="31" t="s">
        <v>225</v>
      </c>
      <c r="S18" s="31" t="s">
        <v>220</v>
      </c>
      <c r="T18" s="31" t="s">
        <v>158</v>
      </c>
      <c r="V18" s="29">
        <v>14</v>
      </c>
      <c r="W18" s="29">
        <v>264</v>
      </c>
      <c r="X18" s="30">
        <v>1</v>
      </c>
      <c r="Y18" s="31" t="s">
        <v>226</v>
      </c>
      <c r="Z18" s="31" t="s">
        <v>131</v>
      </c>
      <c r="AA18" s="31" t="s">
        <v>125</v>
      </c>
      <c r="AC18" s="29">
        <v>14</v>
      </c>
      <c r="AD18" s="29">
        <v>304</v>
      </c>
      <c r="AE18" s="30">
        <v>1</v>
      </c>
      <c r="AF18" s="31" t="s">
        <v>227</v>
      </c>
      <c r="AG18" s="31" t="s">
        <v>91</v>
      </c>
      <c r="AH18" s="31" t="s">
        <v>97</v>
      </c>
      <c r="AJ18" s="29">
        <v>14</v>
      </c>
      <c r="AK18" s="29">
        <v>344</v>
      </c>
      <c r="AL18" s="30">
        <v>1</v>
      </c>
      <c r="AM18" s="31" t="s">
        <v>228</v>
      </c>
      <c r="AN18" s="31" t="s">
        <v>80</v>
      </c>
      <c r="AO18" s="31" t="s">
        <v>229</v>
      </c>
      <c r="AP18" s="31"/>
      <c r="AR18" s="29">
        <v>14</v>
      </c>
      <c r="AS18" s="29">
        <v>384</v>
      </c>
      <c r="AT18" s="30">
        <v>1</v>
      </c>
      <c r="AU18" s="31" t="s">
        <v>230</v>
      </c>
      <c r="AV18" s="31" t="s">
        <v>155</v>
      </c>
      <c r="AW18" s="31" t="s">
        <v>231</v>
      </c>
      <c r="AY18" s="29"/>
      <c r="AZ18" s="29"/>
      <c r="BA18" s="30"/>
      <c r="BB18" s="31"/>
      <c r="BC18" s="31"/>
      <c r="BD18" s="31"/>
      <c r="BF18" s="29"/>
      <c r="BG18" s="29"/>
      <c r="BH18" s="30"/>
      <c r="BI18" s="31"/>
      <c r="BJ18" s="31"/>
      <c r="BK18" s="31"/>
      <c r="BM18" s="32"/>
      <c r="BN18" s="33"/>
      <c r="BO18" s="32"/>
      <c r="BP18" s="34"/>
      <c r="BQ18" s="34"/>
      <c r="BR18" s="34"/>
    </row>
    <row r="19" spans="1:70" ht="19.899999999999999" customHeight="1">
      <c r="A19" s="29">
        <v>15</v>
      </c>
      <c r="B19" s="29">
        <v>145</v>
      </c>
      <c r="C19" s="30">
        <v>2</v>
      </c>
      <c r="D19" s="31" t="s">
        <v>232</v>
      </c>
      <c r="E19" s="31" t="s">
        <v>233</v>
      </c>
      <c r="F19" s="31" t="s">
        <v>234</v>
      </c>
      <c r="H19" s="29">
        <v>15</v>
      </c>
      <c r="I19" s="29">
        <v>185</v>
      </c>
      <c r="J19" s="30">
        <v>2</v>
      </c>
      <c r="K19" s="31" t="s">
        <v>235</v>
      </c>
      <c r="L19" s="31" t="s">
        <v>236</v>
      </c>
      <c r="M19" s="31" t="s">
        <v>237</v>
      </c>
      <c r="O19" s="29">
        <v>15</v>
      </c>
      <c r="P19" s="29">
        <v>225</v>
      </c>
      <c r="Q19" s="30">
        <v>2</v>
      </c>
      <c r="R19" s="31" t="s">
        <v>238</v>
      </c>
      <c r="S19" s="31" t="s">
        <v>239</v>
      </c>
      <c r="T19" s="31" t="s">
        <v>196</v>
      </c>
      <c r="V19" s="29">
        <v>15</v>
      </c>
      <c r="W19" s="29">
        <v>265</v>
      </c>
      <c r="X19" s="30">
        <v>2</v>
      </c>
      <c r="Y19" s="31" t="s">
        <v>240</v>
      </c>
      <c r="Z19" s="31" t="s">
        <v>241</v>
      </c>
      <c r="AA19" s="31" t="s">
        <v>156</v>
      </c>
      <c r="AC19" s="29">
        <v>15</v>
      </c>
      <c r="AD19" s="29">
        <v>305</v>
      </c>
      <c r="AE19" s="30">
        <v>2</v>
      </c>
      <c r="AF19" s="31" t="s">
        <v>227</v>
      </c>
      <c r="AG19" s="31" t="s">
        <v>242</v>
      </c>
      <c r="AH19" s="31" t="s">
        <v>243</v>
      </c>
      <c r="AJ19" s="29">
        <v>15</v>
      </c>
      <c r="AK19" s="29">
        <v>345</v>
      </c>
      <c r="AL19" s="30">
        <v>2</v>
      </c>
      <c r="AM19" s="31" t="s">
        <v>244</v>
      </c>
      <c r="AN19" s="31" t="s">
        <v>49</v>
      </c>
      <c r="AO19" s="31" t="s">
        <v>245</v>
      </c>
      <c r="AP19" s="31"/>
      <c r="AR19" s="29">
        <v>15</v>
      </c>
      <c r="AS19" s="29">
        <v>385</v>
      </c>
      <c r="AT19" s="30">
        <v>2</v>
      </c>
      <c r="AU19" s="31" t="s">
        <v>246</v>
      </c>
      <c r="AV19" s="31" t="s">
        <v>247</v>
      </c>
      <c r="AW19" s="31" t="s">
        <v>248</v>
      </c>
      <c r="AY19" s="29"/>
      <c r="AZ19" s="29"/>
      <c r="BA19" s="30"/>
      <c r="BB19" s="36"/>
      <c r="BC19" s="36"/>
      <c r="BD19" s="36"/>
      <c r="BF19" s="29"/>
      <c r="BG19" s="29"/>
      <c r="BH19" s="30"/>
      <c r="BI19" s="31"/>
      <c r="BJ19" s="31"/>
      <c r="BK19" s="31"/>
      <c r="BM19" s="32"/>
      <c r="BN19" s="33"/>
      <c r="BO19" s="32"/>
      <c r="BP19" s="34"/>
      <c r="BQ19" s="34"/>
      <c r="BR19" s="34"/>
    </row>
    <row r="20" spans="1:70" ht="19.899999999999999" customHeight="1">
      <c r="A20" s="29">
        <v>16</v>
      </c>
      <c r="B20" s="29">
        <v>146</v>
      </c>
      <c r="C20" s="30">
        <v>2</v>
      </c>
      <c r="D20" s="31" t="s">
        <v>249</v>
      </c>
      <c r="E20" s="31" t="s">
        <v>220</v>
      </c>
      <c r="F20" s="31" t="s">
        <v>33</v>
      </c>
      <c r="H20" s="29">
        <v>16</v>
      </c>
      <c r="I20" s="29">
        <v>186</v>
      </c>
      <c r="J20" s="30">
        <v>2</v>
      </c>
      <c r="K20" s="31" t="s">
        <v>250</v>
      </c>
      <c r="L20" s="31" t="s">
        <v>32</v>
      </c>
      <c r="M20" s="31" t="s">
        <v>41</v>
      </c>
      <c r="O20" s="29">
        <v>16</v>
      </c>
      <c r="P20" s="29">
        <v>226</v>
      </c>
      <c r="Q20" s="30">
        <v>2</v>
      </c>
      <c r="R20" s="31" t="s">
        <v>251</v>
      </c>
      <c r="S20" s="31" t="s">
        <v>195</v>
      </c>
      <c r="T20" s="31" t="s">
        <v>33</v>
      </c>
      <c r="V20" s="29">
        <v>16</v>
      </c>
      <c r="W20" s="29">
        <v>266</v>
      </c>
      <c r="X20" s="30">
        <v>2</v>
      </c>
      <c r="Y20" s="31" t="s">
        <v>252</v>
      </c>
      <c r="Z20" s="31" t="s">
        <v>253</v>
      </c>
      <c r="AA20" s="31" t="s">
        <v>254</v>
      </c>
      <c r="AC20" s="29">
        <v>16</v>
      </c>
      <c r="AD20" s="29">
        <v>306</v>
      </c>
      <c r="AE20" s="30">
        <v>2</v>
      </c>
      <c r="AF20" s="31" t="s">
        <v>255</v>
      </c>
      <c r="AG20" s="31" t="s">
        <v>256</v>
      </c>
      <c r="AH20" s="31" t="s">
        <v>257</v>
      </c>
      <c r="AJ20" s="29">
        <v>16</v>
      </c>
      <c r="AK20" s="29">
        <v>346</v>
      </c>
      <c r="AL20" s="30">
        <v>2</v>
      </c>
      <c r="AM20" s="31" t="s">
        <v>258</v>
      </c>
      <c r="AN20" s="31" t="s">
        <v>114</v>
      </c>
      <c r="AO20" s="31" t="s">
        <v>41</v>
      </c>
      <c r="AP20" s="31"/>
      <c r="AR20" s="29">
        <v>16</v>
      </c>
      <c r="AS20" s="29">
        <v>386</v>
      </c>
      <c r="AT20" s="30">
        <v>2</v>
      </c>
      <c r="AU20" s="31" t="s">
        <v>259</v>
      </c>
      <c r="AV20" s="31" t="s">
        <v>163</v>
      </c>
      <c r="AW20" s="31" t="s">
        <v>58</v>
      </c>
      <c r="AY20" s="29"/>
      <c r="AZ20" s="29"/>
      <c r="BA20" s="30"/>
      <c r="BB20" s="31"/>
      <c r="BC20" s="31"/>
      <c r="BD20" s="31"/>
      <c r="BF20" s="29"/>
      <c r="BG20" s="29"/>
      <c r="BH20" s="30"/>
      <c r="BI20" s="31"/>
      <c r="BJ20" s="31"/>
      <c r="BK20" s="31"/>
      <c r="BM20" s="32"/>
      <c r="BN20" s="33"/>
      <c r="BO20" s="32"/>
      <c r="BP20" s="34"/>
      <c r="BQ20" s="34"/>
      <c r="BR20" s="34"/>
    </row>
    <row r="21" spans="1:70" ht="19.899999999999999" customHeight="1">
      <c r="A21" s="29">
        <v>17</v>
      </c>
      <c r="B21" s="29">
        <v>147</v>
      </c>
      <c r="C21" s="30">
        <v>2</v>
      </c>
      <c r="D21" s="31" t="s">
        <v>260</v>
      </c>
      <c r="E21" s="31" t="s">
        <v>54</v>
      </c>
      <c r="F21" s="31" t="s">
        <v>156</v>
      </c>
      <c r="H21" s="29">
        <v>17</v>
      </c>
      <c r="I21" s="29">
        <v>187</v>
      </c>
      <c r="J21" s="30">
        <v>2</v>
      </c>
      <c r="K21" s="31" t="s">
        <v>261</v>
      </c>
      <c r="L21" s="31" t="s">
        <v>155</v>
      </c>
      <c r="M21" s="31" t="s">
        <v>125</v>
      </c>
      <c r="O21" s="29">
        <v>17</v>
      </c>
      <c r="P21" s="29">
        <v>227</v>
      </c>
      <c r="Q21" s="30">
        <v>2</v>
      </c>
      <c r="R21" s="31" t="s">
        <v>262</v>
      </c>
      <c r="S21" s="31" t="s">
        <v>263</v>
      </c>
      <c r="T21" s="31" t="s">
        <v>264</v>
      </c>
      <c r="V21" s="29">
        <v>17</v>
      </c>
      <c r="W21" s="29">
        <v>267</v>
      </c>
      <c r="X21" s="30">
        <v>2</v>
      </c>
      <c r="Y21" s="31" t="s">
        <v>265</v>
      </c>
      <c r="Z21" s="31" t="s">
        <v>67</v>
      </c>
      <c r="AA21" s="31" t="s">
        <v>196</v>
      </c>
      <c r="AC21" s="29">
        <v>17</v>
      </c>
      <c r="AD21" s="29">
        <v>307</v>
      </c>
      <c r="AE21" s="30">
        <v>2</v>
      </c>
      <c r="AF21" s="31" t="s">
        <v>266</v>
      </c>
      <c r="AG21" s="31" t="s">
        <v>40</v>
      </c>
      <c r="AH21" s="31" t="s">
        <v>58</v>
      </c>
      <c r="AJ21" s="29">
        <v>17</v>
      </c>
      <c r="AK21" s="29">
        <v>347</v>
      </c>
      <c r="AL21" s="30">
        <v>2</v>
      </c>
      <c r="AM21" s="31" t="s">
        <v>267</v>
      </c>
      <c r="AN21" s="31" t="s">
        <v>268</v>
      </c>
      <c r="AO21" s="31" t="s">
        <v>36</v>
      </c>
      <c r="AP21" s="31"/>
      <c r="AR21" s="29">
        <v>17</v>
      </c>
      <c r="AS21" s="29">
        <v>387</v>
      </c>
      <c r="AT21" s="30">
        <v>2</v>
      </c>
      <c r="AU21" s="31" t="s">
        <v>269</v>
      </c>
      <c r="AV21" s="31" t="s">
        <v>270</v>
      </c>
      <c r="AW21" s="31" t="s">
        <v>41</v>
      </c>
      <c r="AY21" s="29"/>
      <c r="AZ21" s="29"/>
      <c r="BA21" s="30"/>
      <c r="BB21" s="36"/>
      <c r="BC21" s="36"/>
      <c r="BD21" s="36"/>
      <c r="BF21" s="29"/>
      <c r="BG21" s="29"/>
      <c r="BH21" s="30"/>
      <c r="BI21" s="31"/>
      <c r="BJ21" s="31"/>
      <c r="BK21" s="31"/>
      <c r="BM21" s="32"/>
      <c r="BN21" s="33"/>
      <c r="BO21" s="32"/>
      <c r="BP21" s="34"/>
      <c r="BQ21" s="34"/>
      <c r="BR21" s="34"/>
    </row>
    <row r="22" spans="1:70" ht="19.899999999999999" customHeight="1">
      <c r="A22" s="29">
        <v>18</v>
      </c>
      <c r="B22" s="29">
        <v>148</v>
      </c>
      <c r="C22" s="30">
        <v>2</v>
      </c>
      <c r="D22" s="31" t="s">
        <v>271</v>
      </c>
      <c r="E22" s="31" t="s">
        <v>272</v>
      </c>
      <c r="F22" s="31" t="s">
        <v>147</v>
      </c>
      <c r="H22" s="29">
        <v>18</v>
      </c>
      <c r="I22" s="29">
        <v>188</v>
      </c>
      <c r="J22" s="30">
        <v>2</v>
      </c>
      <c r="K22" s="31" t="s">
        <v>273</v>
      </c>
      <c r="L22" s="31" t="s">
        <v>272</v>
      </c>
      <c r="M22" s="31" t="s">
        <v>193</v>
      </c>
      <c r="O22" s="29">
        <v>18</v>
      </c>
      <c r="P22" s="29">
        <v>228</v>
      </c>
      <c r="Q22" s="30">
        <v>2</v>
      </c>
      <c r="R22" s="31" t="s">
        <v>274</v>
      </c>
      <c r="S22" s="31" t="s">
        <v>52</v>
      </c>
      <c r="T22" s="31" t="s">
        <v>158</v>
      </c>
      <c r="V22" s="29">
        <v>18</v>
      </c>
      <c r="W22" s="29">
        <v>268</v>
      </c>
      <c r="X22" s="30">
        <v>2</v>
      </c>
      <c r="Y22" s="31" t="s">
        <v>275</v>
      </c>
      <c r="Z22" s="31" t="s">
        <v>155</v>
      </c>
      <c r="AA22" s="31" t="s">
        <v>33</v>
      </c>
      <c r="AC22" s="29">
        <v>18</v>
      </c>
      <c r="AD22" s="29">
        <v>308</v>
      </c>
      <c r="AE22" s="30">
        <v>2</v>
      </c>
      <c r="AF22" s="31" t="s">
        <v>276</v>
      </c>
      <c r="AG22" s="31" t="s">
        <v>35</v>
      </c>
      <c r="AH22" s="31" t="s">
        <v>36</v>
      </c>
      <c r="AJ22" s="29">
        <v>18</v>
      </c>
      <c r="AK22" s="29">
        <v>348</v>
      </c>
      <c r="AL22" s="30">
        <v>2</v>
      </c>
      <c r="AM22" s="31" t="s">
        <v>277</v>
      </c>
      <c r="AN22" s="31" t="s">
        <v>278</v>
      </c>
      <c r="AO22" s="31" t="s">
        <v>279</v>
      </c>
      <c r="AP22" s="31"/>
      <c r="AR22" s="29">
        <v>18</v>
      </c>
      <c r="AS22" s="29">
        <v>388</v>
      </c>
      <c r="AT22" s="30">
        <v>2</v>
      </c>
      <c r="AU22" s="31" t="s">
        <v>280</v>
      </c>
      <c r="AV22" s="31" t="s">
        <v>278</v>
      </c>
      <c r="AW22" s="31" t="s">
        <v>281</v>
      </c>
      <c r="AY22" s="29"/>
      <c r="AZ22" s="29"/>
      <c r="BA22" s="30"/>
      <c r="BB22" s="36"/>
      <c r="BC22" s="36"/>
      <c r="BD22" s="36"/>
      <c r="BF22" s="29"/>
      <c r="BG22" s="29"/>
      <c r="BH22" s="30"/>
      <c r="BI22" s="31"/>
      <c r="BJ22" s="31"/>
      <c r="BK22" s="31"/>
      <c r="BM22" s="32"/>
      <c r="BN22" s="33"/>
      <c r="BO22" s="32"/>
      <c r="BP22" s="34"/>
      <c r="BQ22" s="34"/>
      <c r="BR22" s="34"/>
    </row>
    <row r="23" spans="1:70" ht="19.899999999999999" customHeight="1">
      <c r="A23" s="29">
        <v>19</v>
      </c>
      <c r="B23" s="29">
        <v>149</v>
      </c>
      <c r="C23" s="30">
        <v>2</v>
      </c>
      <c r="D23" s="31" t="s">
        <v>282</v>
      </c>
      <c r="E23" s="31" t="s">
        <v>283</v>
      </c>
      <c r="F23" s="31" t="s">
        <v>284</v>
      </c>
      <c r="H23" s="29">
        <v>19</v>
      </c>
      <c r="I23" s="29">
        <v>189</v>
      </c>
      <c r="J23" s="30">
        <v>2</v>
      </c>
      <c r="K23" s="31" t="s">
        <v>285</v>
      </c>
      <c r="L23" s="31" t="s">
        <v>286</v>
      </c>
      <c r="M23" s="31" t="s">
        <v>287</v>
      </c>
      <c r="O23" s="29">
        <v>19</v>
      </c>
      <c r="P23" s="29">
        <v>229</v>
      </c>
      <c r="Q23" s="30">
        <v>2</v>
      </c>
      <c r="R23" s="31" t="s">
        <v>288</v>
      </c>
      <c r="S23" s="31" t="s">
        <v>144</v>
      </c>
      <c r="T23" s="31" t="s">
        <v>58</v>
      </c>
      <c r="V23" s="29">
        <v>19</v>
      </c>
      <c r="W23" s="29">
        <v>269</v>
      </c>
      <c r="X23" s="30">
        <v>2</v>
      </c>
      <c r="Y23" s="31" t="s">
        <v>289</v>
      </c>
      <c r="Z23" s="31" t="s">
        <v>144</v>
      </c>
      <c r="AA23" s="31" t="s">
        <v>156</v>
      </c>
      <c r="AC23" s="29">
        <v>19</v>
      </c>
      <c r="AD23" s="29">
        <v>309</v>
      </c>
      <c r="AE23" s="30">
        <v>2</v>
      </c>
      <c r="AF23" s="31" t="s">
        <v>290</v>
      </c>
      <c r="AG23" s="31" t="s">
        <v>291</v>
      </c>
      <c r="AH23" s="31" t="s">
        <v>292</v>
      </c>
      <c r="AJ23" s="29">
        <v>19</v>
      </c>
      <c r="AK23" s="29">
        <v>349</v>
      </c>
      <c r="AL23" s="30">
        <v>2</v>
      </c>
      <c r="AM23" s="31" t="s">
        <v>293</v>
      </c>
      <c r="AN23" s="31" t="s">
        <v>294</v>
      </c>
      <c r="AO23" s="31" t="s">
        <v>198</v>
      </c>
      <c r="AP23" s="37"/>
      <c r="AR23" s="29">
        <v>19</v>
      </c>
      <c r="AS23" s="29">
        <v>389</v>
      </c>
      <c r="AT23" s="30">
        <v>2</v>
      </c>
      <c r="AU23" s="31" t="s">
        <v>295</v>
      </c>
      <c r="AV23" s="31" t="s">
        <v>75</v>
      </c>
      <c r="AW23" s="31" t="s">
        <v>296</v>
      </c>
      <c r="AY23" s="29"/>
      <c r="AZ23" s="29"/>
      <c r="BA23" s="30"/>
      <c r="BB23" s="31"/>
      <c r="BC23" s="31"/>
      <c r="BD23" s="31"/>
      <c r="BF23" s="29"/>
      <c r="BG23" s="29"/>
      <c r="BH23" s="30"/>
      <c r="BI23" s="31"/>
      <c r="BJ23" s="31"/>
      <c r="BK23" s="31"/>
      <c r="BM23" s="32"/>
      <c r="BN23" s="33"/>
      <c r="BO23" s="32"/>
      <c r="BP23" s="34"/>
      <c r="BQ23" s="34"/>
      <c r="BR23" s="34"/>
    </row>
    <row r="24" spans="1:70" ht="19.899999999999999" customHeight="1">
      <c r="A24" s="29">
        <v>20</v>
      </c>
      <c r="B24" s="29">
        <v>150</v>
      </c>
      <c r="C24" s="30">
        <v>2</v>
      </c>
      <c r="D24" s="31" t="s">
        <v>297</v>
      </c>
      <c r="E24" s="31" t="s">
        <v>131</v>
      </c>
      <c r="F24" s="31" t="s">
        <v>229</v>
      </c>
      <c r="H24" s="29">
        <v>20</v>
      </c>
      <c r="I24" s="29">
        <v>190</v>
      </c>
      <c r="J24" s="30">
        <v>2</v>
      </c>
      <c r="K24" s="31" t="s">
        <v>298</v>
      </c>
      <c r="L24" s="31" t="s">
        <v>163</v>
      </c>
      <c r="M24" s="31" t="s">
        <v>156</v>
      </c>
      <c r="O24" s="29">
        <v>20</v>
      </c>
      <c r="P24" s="29">
        <v>230</v>
      </c>
      <c r="Q24" s="30">
        <v>2</v>
      </c>
      <c r="R24" s="31" t="s">
        <v>299</v>
      </c>
      <c r="S24" s="31" t="s">
        <v>300</v>
      </c>
      <c r="T24" s="31" t="s">
        <v>301</v>
      </c>
      <c r="V24" s="29">
        <v>20</v>
      </c>
      <c r="W24" s="29">
        <v>270</v>
      </c>
      <c r="X24" s="30">
        <v>2</v>
      </c>
      <c r="Y24" s="31" t="s">
        <v>302</v>
      </c>
      <c r="Z24" s="31" t="s">
        <v>195</v>
      </c>
      <c r="AA24" s="31" t="s">
        <v>132</v>
      </c>
      <c r="AC24" s="29">
        <v>20</v>
      </c>
      <c r="AD24" s="29">
        <v>310</v>
      </c>
      <c r="AE24" s="30">
        <v>2</v>
      </c>
      <c r="AF24" s="31" t="s">
        <v>303</v>
      </c>
      <c r="AG24" s="31" t="s">
        <v>304</v>
      </c>
      <c r="AH24" s="31" t="s">
        <v>97</v>
      </c>
      <c r="AJ24" s="29">
        <v>20</v>
      </c>
      <c r="AK24" s="29">
        <v>350</v>
      </c>
      <c r="AL24" s="30">
        <v>2</v>
      </c>
      <c r="AM24" s="31" t="s">
        <v>305</v>
      </c>
      <c r="AN24" s="31" t="s">
        <v>96</v>
      </c>
      <c r="AO24" s="31" t="s">
        <v>198</v>
      </c>
      <c r="AP24" s="35"/>
      <c r="AR24" s="29">
        <v>20</v>
      </c>
      <c r="AS24" s="29">
        <v>390</v>
      </c>
      <c r="AT24" s="30">
        <v>2</v>
      </c>
      <c r="AU24" s="31" t="s">
        <v>306</v>
      </c>
      <c r="AV24" s="31" t="s">
        <v>184</v>
      </c>
      <c r="AW24" s="31" t="s">
        <v>27</v>
      </c>
      <c r="AY24" s="29"/>
      <c r="AZ24" s="29"/>
      <c r="BA24" s="30"/>
      <c r="BB24" s="36"/>
      <c r="BC24" s="36"/>
      <c r="BD24" s="36"/>
      <c r="BF24" s="29"/>
      <c r="BG24" s="29"/>
      <c r="BH24" s="30"/>
      <c r="BI24" s="31"/>
      <c r="BJ24" s="31"/>
      <c r="BK24" s="31"/>
      <c r="BM24" s="32"/>
      <c r="BN24" s="33"/>
      <c r="BO24" s="32"/>
      <c r="BP24" s="34"/>
      <c r="BQ24" s="34"/>
      <c r="BR24" s="34"/>
    </row>
    <row r="25" spans="1:70" ht="19.899999999999999" customHeight="1">
      <c r="A25" s="29">
        <v>21</v>
      </c>
      <c r="B25" s="29">
        <v>151</v>
      </c>
      <c r="C25" s="30">
        <v>2</v>
      </c>
      <c r="D25" s="31" t="s">
        <v>307</v>
      </c>
      <c r="E25" s="31" t="s">
        <v>155</v>
      </c>
      <c r="F25" s="31" t="s">
        <v>27</v>
      </c>
      <c r="H25" s="29">
        <v>21</v>
      </c>
      <c r="I25" s="29">
        <v>191</v>
      </c>
      <c r="J25" s="30">
        <v>2</v>
      </c>
      <c r="K25" s="31" t="s">
        <v>308</v>
      </c>
      <c r="L25" s="31" t="s">
        <v>184</v>
      </c>
      <c r="M25" s="31" t="s">
        <v>41</v>
      </c>
      <c r="O25" s="29">
        <v>21</v>
      </c>
      <c r="P25" s="29">
        <v>231</v>
      </c>
      <c r="Q25" s="30">
        <v>2</v>
      </c>
      <c r="R25" s="31" t="s">
        <v>309</v>
      </c>
      <c r="S25" s="31" t="s">
        <v>310</v>
      </c>
      <c r="T25" s="31" t="s">
        <v>311</v>
      </c>
      <c r="V25" s="29">
        <v>21</v>
      </c>
      <c r="W25" s="29">
        <v>271</v>
      </c>
      <c r="X25" s="30">
        <v>2</v>
      </c>
      <c r="Y25" s="31" t="s">
        <v>312</v>
      </c>
      <c r="Z25" s="31" t="s">
        <v>35</v>
      </c>
      <c r="AA25" s="31" t="s">
        <v>76</v>
      </c>
      <c r="AC25" s="29">
        <v>21</v>
      </c>
      <c r="AD25" s="29">
        <v>311</v>
      </c>
      <c r="AE25" s="30">
        <v>2</v>
      </c>
      <c r="AF25" s="31" t="s">
        <v>313</v>
      </c>
      <c r="AG25" s="31" t="s">
        <v>32</v>
      </c>
      <c r="AH25" s="31" t="s">
        <v>314</v>
      </c>
      <c r="AJ25" s="29">
        <v>21</v>
      </c>
      <c r="AK25" s="29">
        <v>351</v>
      </c>
      <c r="AL25" s="30">
        <v>2</v>
      </c>
      <c r="AM25" s="31" t="s">
        <v>315</v>
      </c>
      <c r="AN25" s="31" t="s">
        <v>316</v>
      </c>
      <c r="AO25" s="31" t="s">
        <v>58</v>
      </c>
      <c r="AP25" s="37"/>
      <c r="AR25" s="29">
        <v>21</v>
      </c>
      <c r="AS25" s="29">
        <v>391</v>
      </c>
      <c r="AT25" s="30">
        <v>2</v>
      </c>
      <c r="AU25" s="31" t="s">
        <v>317</v>
      </c>
      <c r="AV25" s="31" t="s">
        <v>101</v>
      </c>
      <c r="AW25" s="31" t="s">
        <v>318</v>
      </c>
      <c r="AY25" s="29"/>
      <c r="AZ25" s="29"/>
      <c r="BA25" s="30"/>
      <c r="BB25" s="31"/>
      <c r="BC25" s="31"/>
      <c r="BD25" s="31"/>
      <c r="BF25" s="29"/>
      <c r="BG25" s="29"/>
      <c r="BH25" s="30"/>
      <c r="BI25" s="31"/>
      <c r="BJ25" s="31"/>
      <c r="BK25" s="31"/>
      <c r="BM25" s="32"/>
      <c r="BN25" s="33"/>
      <c r="BO25" s="32"/>
      <c r="BP25" s="34"/>
      <c r="BQ25" s="34"/>
      <c r="BR25" s="34"/>
    </row>
    <row r="26" spans="1:70" ht="19.899999999999999" customHeight="1">
      <c r="A26" s="29">
        <v>22</v>
      </c>
      <c r="B26" s="29">
        <v>152</v>
      </c>
      <c r="C26" s="30">
        <v>2</v>
      </c>
      <c r="D26" s="31" t="s">
        <v>319</v>
      </c>
      <c r="E26" s="31" t="s">
        <v>120</v>
      </c>
      <c r="F26" s="31" t="s">
        <v>196</v>
      </c>
      <c r="H26" s="29">
        <v>22</v>
      </c>
      <c r="I26" s="29">
        <v>192</v>
      </c>
      <c r="J26" s="30">
        <v>2</v>
      </c>
      <c r="K26" s="31" t="s">
        <v>320</v>
      </c>
      <c r="L26" s="31" t="s">
        <v>117</v>
      </c>
      <c r="M26" s="31" t="s">
        <v>243</v>
      </c>
      <c r="O26" s="29">
        <v>22</v>
      </c>
      <c r="P26" s="29">
        <v>232</v>
      </c>
      <c r="Q26" s="30">
        <v>2</v>
      </c>
      <c r="R26" s="31" t="s">
        <v>321</v>
      </c>
      <c r="S26" s="31" t="s">
        <v>80</v>
      </c>
      <c r="T26" s="31" t="s">
        <v>167</v>
      </c>
      <c r="V26" s="29">
        <v>22</v>
      </c>
      <c r="W26" s="29">
        <v>272</v>
      </c>
      <c r="X26" s="30">
        <v>2</v>
      </c>
      <c r="Y26" s="31" t="s">
        <v>322</v>
      </c>
      <c r="Z26" s="31" t="s">
        <v>323</v>
      </c>
      <c r="AA26" s="31" t="s">
        <v>287</v>
      </c>
      <c r="AC26" s="29">
        <v>22</v>
      </c>
      <c r="AD26" s="29">
        <v>312</v>
      </c>
      <c r="AE26" s="30">
        <v>2</v>
      </c>
      <c r="AF26" s="31" t="s">
        <v>324</v>
      </c>
      <c r="AG26" s="31" t="s">
        <v>272</v>
      </c>
      <c r="AH26" s="31" t="s">
        <v>58</v>
      </c>
      <c r="AJ26" s="29">
        <v>22</v>
      </c>
      <c r="AK26" s="29">
        <v>352</v>
      </c>
      <c r="AL26" s="30">
        <v>2</v>
      </c>
      <c r="AM26" s="31" t="s">
        <v>325</v>
      </c>
      <c r="AN26" s="31" t="s">
        <v>163</v>
      </c>
      <c r="AO26" s="31" t="s">
        <v>326</v>
      </c>
      <c r="AP26" s="37"/>
      <c r="AR26" s="29">
        <v>22</v>
      </c>
      <c r="AS26" s="29">
        <v>392</v>
      </c>
      <c r="AT26" s="30">
        <v>2</v>
      </c>
      <c r="AU26" s="31" t="s">
        <v>327</v>
      </c>
      <c r="AV26" s="31" t="s">
        <v>328</v>
      </c>
      <c r="AW26" s="31" t="s">
        <v>33</v>
      </c>
      <c r="AY26" s="29"/>
      <c r="AZ26" s="29"/>
      <c r="BA26" s="30"/>
      <c r="BB26" s="31"/>
      <c r="BC26" s="31"/>
      <c r="BD26" s="31"/>
      <c r="BF26" s="29"/>
      <c r="BG26" s="29"/>
      <c r="BH26" s="30"/>
      <c r="BI26" s="31"/>
      <c r="BJ26" s="31"/>
      <c r="BK26" s="31"/>
      <c r="BM26" s="32"/>
      <c r="BN26" s="33"/>
      <c r="BO26" s="32"/>
      <c r="BP26" s="34"/>
      <c r="BQ26" s="34"/>
      <c r="BR26" s="34"/>
    </row>
    <row r="27" spans="1:70" ht="19.899999999999999" customHeight="1">
      <c r="A27" s="29">
        <v>23</v>
      </c>
      <c r="B27" s="29">
        <v>153</v>
      </c>
      <c r="C27" s="30">
        <v>2</v>
      </c>
      <c r="D27" s="31" t="s">
        <v>329</v>
      </c>
      <c r="E27" s="31" t="s">
        <v>330</v>
      </c>
      <c r="F27" s="31" t="s">
        <v>331</v>
      </c>
      <c r="H27" s="29">
        <v>23</v>
      </c>
      <c r="I27" s="29">
        <v>193</v>
      </c>
      <c r="J27" s="30">
        <v>2</v>
      </c>
      <c r="K27" s="31" t="s">
        <v>332</v>
      </c>
      <c r="L27" s="31" t="s">
        <v>197</v>
      </c>
      <c r="M27" s="31" t="s">
        <v>47</v>
      </c>
      <c r="O27" s="29">
        <v>23</v>
      </c>
      <c r="P27" s="29">
        <v>233</v>
      </c>
      <c r="Q27" s="30">
        <v>2</v>
      </c>
      <c r="R27" s="31" t="s">
        <v>333</v>
      </c>
      <c r="S27" s="31" t="s">
        <v>334</v>
      </c>
      <c r="T27" s="31" t="s">
        <v>76</v>
      </c>
      <c r="V27" s="29">
        <v>23</v>
      </c>
      <c r="W27" s="29">
        <v>273</v>
      </c>
      <c r="X27" s="30">
        <v>2</v>
      </c>
      <c r="Y27" s="31" t="s">
        <v>335</v>
      </c>
      <c r="Z27" s="31" t="s">
        <v>80</v>
      </c>
      <c r="AA27" s="31" t="s">
        <v>158</v>
      </c>
      <c r="AC27" s="29">
        <v>23</v>
      </c>
      <c r="AD27" s="29">
        <v>313</v>
      </c>
      <c r="AE27" s="30">
        <v>2</v>
      </c>
      <c r="AF27" s="31" t="s">
        <v>336</v>
      </c>
      <c r="AG27" s="31" t="s">
        <v>337</v>
      </c>
      <c r="AH27" s="31" t="s">
        <v>338</v>
      </c>
      <c r="AJ27" s="29">
        <v>23</v>
      </c>
      <c r="AK27" s="29">
        <v>353</v>
      </c>
      <c r="AL27" s="30">
        <v>2</v>
      </c>
      <c r="AM27" s="31" t="s">
        <v>339</v>
      </c>
      <c r="AN27" s="31" t="s">
        <v>178</v>
      </c>
      <c r="AO27" s="31" t="s">
        <v>340</v>
      </c>
      <c r="AP27" s="37"/>
      <c r="AR27" s="29">
        <v>23</v>
      </c>
      <c r="AS27" s="29">
        <v>393</v>
      </c>
      <c r="AT27" s="30">
        <v>2</v>
      </c>
      <c r="AU27" s="31" t="s">
        <v>341</v>
      </c>
      <c r="AV27" s="31" t="s">
        <v>342</v>
      </c>
      <c r="AW27" s="31" t="s">
        <v>287</v>
      </c>
      <c r="AY27" s="29"/>
      <c r="AZ27" s="29"/>
      <c r="BA27" s="30"/>
      <c r="BB27" s="31"/>
      <c r="BC27" s="31"/>
      <c r="BD27" s="31"/>
      <c r="BF27" s="29"/>
      <c r="BG27" s="29"/>
      <c r="BH27" s="30"/>
      <c r="BI27" s="31"/>
      <c r="BJ27" s="31"/>
      <c r="BK27" s="31"/>
      <c r="BM27" s="32"/>
      <c r="BN27" s="33"/>
      <c r="BO27" s="32"/>
      <c r="BP27" s="34"/>
      <c r="BQ27" s="34"/>
      <c r="BR27" s="34"/>
    </row>
    <row r="28" spans="1:70" ht="19.899999999999999" customHeight="1">
      <c r="A28" s="29">
        <v>24</v>
      </c>
      <c r="B28" s="29">
        <v>154</v>
      </c>
      <c r="C28" s="30">
        <v>2</v>
      </c>
      <c r="D28" s="31" t="s">
        <v>343</v>
      </c>
      <c r="E28" s="31" t="s">
        <v>65</v>
      </c>
      <c r="F28" s="31" t="s">
        <v>344</v>
      </c>
      <c r="H28" s="29">
        <v>24</v>
      </c>
      <c r="I28" s="29">
        <v>194</v>
      </c>
      <c r="J28" s="30">
        <v>2</v>
      </c>
      <c r="K28" s="31" t="s">
        <v>345</v>
      </c>
      <c r="L28" s="31" t="s">
        <v>52</v>
      </c>
      <c r="M28" s="31" t="s">
        <v>346</v>
      </c>
      <c r="O28" s="29">
        <v>24</v>
      </c>
      <c r="P28" s="29">
        <v>234</v>
      </c>
      <c r="Q28" s="30">
        <v>2</v>
      </c>
      <c r="R28" s="31" t="s">
        <v>347</v>
      </c>
      <c r="S28" s="31" t="s">
        <v>236</v>
      </c>
      <c r="T28" s="31" t="s">
        <v>348</v>
      </c>
      <c r="V28" s="29">
        <v>24</v>
      </c>
      <c r="W28" s="29">
        <v>274</v>
      </c>
      <c r="X28" s="30">
        <v>2</v>
      </c>
      <c r="Y28" s="31" t="s">
        <v>349</v>
      </c>
      <c r="Z28" s="31" t="s">
        <v>163</v>
      </c>
      <c r="AA28" s="31" t="s">
        <v>63</v>
      </c>
      <c r="AC28" s="29">
        <v>24</v>
      </c>
      <c r="AD28" s="29">
        <v>314</v>
      </c>
      <c r="AE28" s="30">
        <v>2</v>
      </c>
      <c r="AF28" s="31" t="s">
        <v>350</v>
      </c>
      <c r="AG28" s="31" t="s">
        <v>270</v>
      </c>
      <c r="AH28" s="31" t="s">
        <v>129</v>
      </c>
      <c r="AJ28" s="29">
        <v>24</v>
      </c>
      <c r="AK28" s="29">
        <v>354</v>
      </c>
      <c r="AL28" s="30">
        <v>2</v>
      </c>
      <c r="AM28" s="31" t="s">
        <v>351</v>
      </c>
      <c r="AN28" s="31" t="s">
        <v>67</v>
      </c>
      <c r="AO28" s="31" t="s">
        <v>352</v>
      </c>
      <c r="AP28" s="35"/>
      <c r="AR28" s="29">
        <v>24</v>
      </c>
      <c r="AS28" s="29">
        <v>394</v>
      </c>
      <c r="AT28" s="30">
        <v>2</v>
      </c>
      <c r="AU28" s="31" t="s">
        <v>353</v>
      </c>
      <c r="AV28" s="31" t="s">
        <v>278</v>
      </c>
      <c r="AW28" s="31" t="s">
        <v>354</v>
      </c>
      <c r="AY28" s="29"/>
      <c r="AZ28" s="29"/>
      <c r="BA28" s="30"/>
      <c r="BB28" s="31"/>
      <c r="BC28" s="31"/>
      <c r="BD28" s="31"/>
      <c r="BF28" s="29"/>
      <c r="BG28" s="29"/>
      <c r="BH28" s="30"/>
      <c r="BI28" s="31"/>
      <c r="BJ28" s="31"/>
      <c r="BK28" s="31"/>
      <c r="BM28" s="32"/>
      <c r="BN28" s="33"/>
      <c r="BO28" s="32"/>
      <c r="BP28" s="34"/>
      <c r="BQ28" s="34"/>
      <c r="BR28" s="34"/>
    </row>
    <row r="29" spans="1:70" ht="19.899999999999999" customHeight="1">
      <c r="A29" s="29">
        <v>25</v>
      </c>
      <c r="B29" s="29">
        <v>155</v>
      </c>
      <c r="C29" s="30">
        <v>2</v>
      </c>
      <c r="D29" s="31" t="s">
        <v>355</v>
      </c>
      <c r="E29" s="31" t="s">
        <v>153</v>
      </c>
      <c r="F29" s="31" t="s">
        <v>356</v>
      </c>
      <c r="H29" s="29">
        <v>25</v>
      </c>
      <c r="I29" s="29">
        <v>195</v>
      </c>
      <c r="J29" s="30">
        <v>2</v>
      </c>
      <c r="K29" s="31" t="s">
        <v>357</v>
      </c>
      <c r="L29" s="31" t="s">
        <v>78</v>
      </c>
      <c r="M29" s="31" t="s">
        <v>358</v>
      </c>
      <c r="O29" s="29">
        <v>25</v>
      </c>
      <c r="P29" s="29">
        <v>235</v>
      </c>
      <c r="Q29" s="30">
        <v>2</v>
      </c>
      <c r="R29" s="31" t="s">
        <v>359</v>
      </c>
      <c r="S29" s="31" t="s">
        <v>153</v>
      </c>
      <c r="T29" s="31" t="s">
        <v>33</v>
      </c>
      <c r="V29" s="29">
        <v>25</v>
      </c>
      <c r="W29" s="29">
        <v>275</v>
      </c>
      <c r="X29" s="30">
        <v>2</v>
      </c>
      <c r="Y29" s="31" t="s">
        <v>360</v>
      </c>
      <c r="Z29" s="31" t="s">
        <v>361</v>
      </c>
      <c r="AA29" s="31" t="s">
        <v>47</v>
      </c>
      <c r="AC29" s="29">
        <v>25</v>
      </c>
      <c r="AD29" s="29">
        <v>315</v>
      </c>
      <c r="AE29" s="30">
        <v>2</v>
      </c>
      <c r="AF29" s="31" t="s">
        <v>362</v>
      </c>
      <c r="AG29" s="31" t="s">
        <v>160</v>
      </c>
      <c r="AH29" s="31" t="s">
        <v>132</v>
      </c>
      <c r="AJ29" s="29">
        <v>25</v>
      </c>
      <c r="AK29" s="29">
        <v>355</v>
      </c>
      <c r="AL29" s="30">
        <v>2</v>
      </c>
      <c r="AM29" s="31" t="s">
        <v>363</v>
      </c>
      <c r="AN29" s="31" t="s">
        <v>364</v>
      </c>
      <c r="AO29" s="31" t="s">
        <v>97</v>
      </c>
      <c r="AP29" s="37"/>
      <c r="AR29" s="29">
        <v>25</v>
      </c>
      <c r="AS29" s="29">
        <v>395</v>
      </c>
      <c r="AT29" s="30">
        <v>2</v>
      </c>
      <c r="AU29" s="31" t="s">
        <v>365</v>
      </c>
      <c r="AV29" s="31" t="s">
        <v>40</v>
      </c>
      <c r="AW29" s="31" t="s">
        <v>366</v>
      </c>
      <c r="AY29" s="29"/>
      <c r="AZ29" s="29"/>
      <c r="BA29" s="30"/>
      <c r="BB29" s="31"/>
      <c r="BC29" s="31"/>
      <c r="BD29" s="31"/>
      <c r="BF29" s="29"/>
      <c r="BG29" s="29"/>
      <c r="BH29" s="30"/>
      <c r="BI29" s="31"/>
      <c r="BJ29" s="31"/>
      <c r="BK29" s="31"/>
      <c r="BM29" s="32"/>
      <c r="BN29" s="33"/>
      <c r="BO29" s="32"/>
      <c r="BP29" s="34"/>
      <c r="BQ29" s="34"/>
      <c r="BR29" s="34"/>
    </row>
    <row r="30" spans="1:70" ht="19.899999999999999" customHeight="1">
      <c r="A30" s="29">
        <v>26</v>
      </c>
      <c r="B30" s="29">
        <v>156</v>
      </c>
      <c r="C30" s="30">
        <v>2</v>
      </c>
      <c r="D30" s="31" t="s">
        <v>367</v>
      </c>
      <c r="E30" s="31" t="s">
        <v>40</v>
      </c>
      <c r="F30" s="31" t="s">
        <v>344</v>
      </c>
      <c r="H30" s="29">
        <v>26</v>
      </c>
      <c r="I30" s="29">
        <v>196</v>
      </c>
      <c r="J30" s="30">
        <v>2</v>
      </c>
      <c r="K30" s="31" t="s">
        <v>368</v>
      </c>
      <c r="L30" s="31" t="s">
        <v>155</v>
      </c>
      <c r="M30" s="31" t="s">
        <v>161</v>
      </c>
      <c r="O30" s="29">
        <v>26</v>
      </c>
      <c r="P30" s="29">
        <v>236</v>
      </c>
      <c r="Q30" s="30">
        <v>2</v>
      </c>
      <c r="R30" s="31" t="s">
        <v>369</v>
      </c>
      <c r="S30" s="31" t="s">
        <v>370</v>
      </c>
      <c r="T30" s="31" t="s">
        <v>47</v>
      </c>
      <c r="V30" s="29">
        <v>26</v>
      </c>
      <c r="W30" s="29">
        <v>276</v>
      </c>
      <c r="X30" s="30">
        <v>2</v>
      </c>
      <c r="Y30" s="31" t="s">
        <v>371</v>
      </c>
      <c r="Z30" s="31" t="s">
        <v>40</v>
      </c>
      <c r="AA30" s="31" t="s">
        <v>156</v>
      </c>
      <c r="AC30" s="29">
        <v>26</v>
      </c>
      <c r="AD30" s="29">
        <v>316</v>
      </c>
      <c r="AE30" s="30">
        <v>2</v>
      </c>
      <c r="AF30" s="31" t="s">
        <v>372</v>
      </c>
      <c r="AG30" s="31" t="s">
        <v>40</v>
      </c>
      <c r="AH30" s="31" t="s">
        <v>61</v>
      </c>
      <c r="AJ30" s="29">
        <v>26</v>
      </c>
      <c r="AK30" s="29">
        <v>356</v>
      </c>
      <c r="AL30" s="30">
        <v>2</v>
      </c>
      <c r="AM30" s="31" t="s">
        <v>373</v>
      </c>
      <c r="AN30" s="31" t="s">
        <v>374</v>
      </c>
      <c r="AO30" s="31" t="s">
        <v>375</v>
      </c>
      <c r="AP30" s="31"/>
      <c r="AR30" s="29">
        <v>26</v>
      </c>
      <c r="AS30" s="29">
        <v>396</v>
      </c>
      <c r="AT30" s="30">
        <v>2</v>
      </c>
      <c r="AU30" s="31" t="s">
        <v>376</v>
      </c>
      <c r="AV30" s="31" t="s">
        <v>377</v>
      </c>
      <c r="AW30" s="31" t="s">
        <v>378</v>
      </c>
      <c r="AY30" s="29"/>
      <c r="AZ30" s="29"/>
      <c r="BA30" s="30"/>
      <c r="BB30" s="31"/>
      <c r="BC30" s="31"/>
      <c r="BD30" s="31"/>
      <c r="BF30" s="29"/>
      <c r="BG30" s="29"/>
      <c r="BH30" s="30"/>
      <c r="BI30" s="31"/>
      <c r="BJ30" s="31"/>
      <c r="BK30" s="31"/>
      <c r="BM30" s="32"/>
      <c r="BN30" s="33"/>
      <c r="BO30" s="32"/>
      <c r="BP30" s="34"/>
      <c r="BQ30" s="34"/>
      <c r="BR30" s="34"/>
    </row>
    <row r="31" spans="1:70" ht="19.899999999999999" customHeight="1">
      <c r="A31" s="29">
        <v>27</v>
      </c>
      <c r="B31" s="29">
        <v>157</v>
      </c>
      <c r="C31" s="30">
        <v>2</v>
      </c>
      <c r="D31" s="31" t="s">
        <v>379</v>
      </c>
      <c r="E31" s="31" t="s">
        <v>178</v>
      </c>
      <c r="F31" s="31" t="s">
        <v>234</v>
      </c>
      <c r="H31" s="29">
        <v>27</v>
      </c>
      <c r="I31" s="29">
        <v>197</v>
      </c>
      <c r="J31" s="30">
        <v>2</v>
      </c>
      <c r="K31" s="31" t="s">
        <v>380</v>
      </c>
      <c r="L31" s="31" t="s">
        <v>381</v>
      </c>
      <c r="M31" s="31" t="s">
        <v>211</v>
      </c>
      <c r="O31" s="29">
        <v>27</v>
      </c>
      <c r="P31" s="29">
        <v>237</v>
      </c>
      <c r="Q31" s="30">
        <v>2</v>
      </c>
      <c r="R31" s="31" t="s">
        <v>382</v>
      </c>
      <c r="S31" s="31" t="s">
        <v>163</v>
      </c>
      <c r="T31" s="31" t="s">
        <v>231</v>
      </c>
      <c r="V31" s="29">
        <v>27</v>
      </c>
      <c r="W31" s="29">
        <v>277</v>
      </c>
      <c r="X31" s="30">
        <v>2</v>
      </c>
      <c r="Y31" s="31" t="s">
        <v>383</v>
      </c>
      <c r="Z31" s="31" t="s">
        <v>109</v>
      </c>
      <c r="AA31" s="31" t="s">
        <v>384</v>
      </c>
      <c r="AC31" s="29">
        <v>27</v>
      </c>
      <c r="AD31" s="29">
        <v>317</v>
      </c>
      <c r="AE31" s="30">
        <v>2</v>
      </c>
      <c r="AF31" s="31" t="s">
        <v>385</v>
      </c>
      <c r="AG31" s="31" t="s">
        <v>386</v>
      </c>
      <c r="AH31" s="31" t="s">
        <v>129</v>
      </c>
      <c r="AJ31" s="29">
        <v>27</v>
      </c>
      <c r="AK31" s="29">
        <v>357</v>
      </c>
      <c r="AL31" s="30">
        <v>2</v>
      </c>
      <c r="AM31" s="31" t="s">
        <v>387</v>
      </c>
      <c r="AN31" s="31" t="s">
        <v>172</v>
      </c>
      <c r="AO31" s="31" t="s">
        <v>229</v>
      </c>
      <c r="AP31" s="37"/>
      <c r="AR31" s="29">
        <v>27</v>
      </c>
      <c r="AS31" s="29">
        <v>397</v>
      </c>
      <c r="AT31" s="30">
        <v>2</v>
      </c>
      <c r="AU31" s="31" t="s">
        <v>388</v>
      </c>
      <c r="AV31" s="31" t="s">
        <v>389</v>
      </c>
      <c r="AW31" s="31" t="s">
        <v>147</v>
      </c>
      <c r="AY31" s="29"/>
      <c r="AZ31" s="29"/>
      <c r="BA31" s="30"/>
      <c r="BB31" s="31"/>
      <c r="BC31" s="31"/>
      <c r="BD31" s="31"/>
      <c r="BF31" s="29"/>
      <c r="BG31" s="29"/>
      <c r="BH31" s="30"/>
      <c r="BI31" s="31"/>
      <c r="BJ31" s="31"/>
      <c r="BK31" s="31"/>
      <c r="BM31" s="32"/>
      <c r="BN31" s="33"/>
      <c r="BO31" s="32"/>
      <c r="BP31" s="34"/>
      <c r="BQ31" s="34"/>
      <c r="BR31" s="34"/>
    </row>
    <row r="32" spans="1:70" ht="19.899999999999999" customHeight="1">
      <c r="A32" s="29">
        <v>28</v>
      </c>
      <c r="B32" s="29">
        <v>158</v>
      </c>
      <c r="C32" s="30">
        <v>2</v>
      </c>
      <c r="D32" s="31" t="s">
        <v>390</v>
      </c>
      <c r="E32" s="31" t="s">
        <v>120</v>
      </c>
      <c r="F32" s="31" t="s">
        <v>340</v>
      </c>
      <c r="H32" s="29">
        <v>28</v>
      </c>
      <c r="I32" s="29">
        <v>198</v>
      </c>
      <c r="J32" s="30">
        <v>2</v>
      </c>
      <c r="K32" s="31" t="s">
        <v>391</v>
      </c>
      <c r="L32" s="31" t="s">
        <v>392</v>
      </c>
      <c r="M32" s="31" t="s">
        <v>102</v>
      </c>
      <c r="O32" s="29">
        <v>28</v>
      </c>
      <c r="P32" s="29">
        <v>238</v>
      </c>
      <c r="Q32" s="30">
        <v>2</v>
      </c>
      <c r="R32" s="31" t="s">
        <v>393</v>
      </c>
      <c r="S32" s="31" t="s">
        <v>26</v>
      </c>
      <c r="T32" s="31" t="s">
        <v>136</v>
      </c>
      <c r="V32" s="29">
        <v>28</v>
      </c>
      <c r="W32" s="29">
        <v>278</v>
      </c>
      <c r="X32" s="30">
        <v>2</v>
      </c>
      <c r="Y32" s="31" t="s">
        <v>394</v>
      </c>
      <c r="Z32" s="31" t="s">
        <v>142</v>
      </c>
      <c r="AA32" s="31" t="s">
        <v>182</v>
      </c>
      <c r="AC32" s="29">
        <v>28</v>
      </c>
      <c r="AD32" s="29">
        <v>318</v>
      </c>
      <c r="AE32" s="30">
        <v>2</v>
      </c>
      <c r="AF32" s="31" t="s">
        <v>395</v>
      </c>
      <c r="AG32" s="31" t="s">
        <v>233</v>
      </c>
      <c r="AH32" s="31" t="s">
        <v>356</v>
      </c>
      <c r="AJ32" s="29">
        <v>28</v>
      </c>
      <c r="AK32" s="29">
        <v>358</v>
      </c>
      <c r="AL32" s="30">
        <v>2</v>
      </c>
      <c r="AM32" s="31" t="s">
        <v>396</v>
      </c>
      <c r="AN32" s="31" t="s">
        <v>131</v>
      </c>
      <c r="AO32" s="31" t="s">
        <v>129</v>
      </c>
      <c r="AP32" s="37"/>
      <c r="AR32" s="29">
        <v>28</v>
      </c>
      <c r="AS32" s="29">
        <v>398</v>
      </c>
      <c r="AT32" s="30">
        <v>2</v>
      </c>
      <c r="AU32" s="31" t="s">
        <v>397</v>
      </c>
      <c r="AV32" s="31" t="s">
        <v>40</v>
      </c>
      <c r="AW32" s="31" t="s">
        <v>129</v>
      </c>
      <c r="AY32" s="29"/>
      <c r="AZ32" s="29"/>
      <c r="BA32" s="30"/>
      <c r="BB32" s="31"/>
      <c r="BC32" s="31"/>
      <c r="BD32" s="31"/>
      <c r="BF32" s="29"/>
      <c r="BG32" s="29"/>
      <c r="BH32" s="30"/>
      <c r="BI32" s="31"/>
      <c r="BJ32" s="31"/>
      <c r="BK32" s="31"/>
      <c r="BM32" s="32"/>
      <c r="BN32" s="33"/>
      <c r="BO32" s="32"/>
      <c r="BP32" s="34"/>
      <c r="BQ32" s="34"/>
      <c r="BR32" s="34"/>
    </row>
    <row r="33" spans="1:70" ht="19.899999999999999" customHeight="1">
      <c r="A33" s="29">
        <v>29</v>
      </c>
      <c r="B33" s="29">
        <v>29</v>
      </c>
      <c r="C33" s="30"/>
      <c r="D33" s="31"/>
      <c r="E33" s="31"/>
      <c r="F33" s="31"/>
      <c r="G33" s="24"/>
      <c r="H33" s="29">
        <v>29</v>
      </c>
      <c r="I33" s="29">
        <v>197</v>
      </c>
      <c r="J33" s="30">
        <v>2</v>
      </c>
      <c r="K33" s="31" t="s">
        <v>421</v>
      </c>
      <c r="L33" s="31" t="s">
        <v>422</v>
      </c>
      <c r="M33" s="31" t="s">
        <v>423</v>
      </c>
      <c r="O33" s="29">
        <v>29</v>
      </c>
      <c r="P33" s="29">
        <v>110</v>
      </c>
      <c r="Q33" s="30"/>
      <c r="R33" s="31"/>
      <c r="S33" s="31"/>
      <c r="T33" s="31"/>
      <c r="V33" s="29">
        <v>29</v>
      </c>
      <c r="W33" s="29">
        <v>148</v>
      </c>
      <c r="X33" s="30"/>
      <c r="Y33" s="31"/>
      <c r="Z33" s="31"/>
      <c r="AA33" s="31"/>
      <c r="AC33" s="29">
        <v>29</v>
      </c>
      <c r="AD33" s="29">
        <v>188</v>
      </c>
      <c r="AE33" s="30"/>
      <c r="AF33" s="31"/>
      <c r="AG33" s="31"/>
      <c r="AH33" s="31"/>
      <c r="AJ33" s="29">
        <v>29</v>
      </c>
      <c r="AK33" s="29">
        <v>259</v>
      </c>
      <c r="AL33" s="30">
        <v>1</v>
      </c>
      <c r="AM33" s="31" t="s">
        <v>427</v>
      </c>
      <c r="AN33" s="31" t="s">
        <v>428</v>
      </c>
      <c r="AO33" s="31" t="s">
        <v>429</v>
      </c>
      <c r="AP33" s="39"/>
      <c r="AR33" s="29">
        <v>29</v>
      </c>
      <c r="AS33" s="29">
        <v>268</v>
      </c>
      <c r="AT33" s="30"/>
      <c r="AU33" s="31"/>
      <c r="AV33" s="31"/>
      <c r="AW33" s="31"/>
      <c r="AY33" s="29"/>
      <c r="AZ33" s="29"/>
      <c r="BA33" s="30"/>
      <c r="BB33" s="31"/>
      <c r="BC33" s="31"/>
      <c r="BD33" s="31"/>
      <c r="BF33" s="29"/>
      <c r="BG33" s="29"/>
      <c r="BH33" s="30"/>
      <c r="BI33" s="31"/>
      <c r="BJ33" s="31"/>
      <c r="BK33" s="31"/>
      <c r="BM33" s="32"/>
      <c r="BN33" s="33"/>
      <c r="BO33" s="32"/>
      <c r="BP33" s="34"/>
      <c r="BQ33" s="34"/>
      <c r="BR33" s="34"/>
    </row>
    <row r="34" spans="1:70" ht="19.899999999999999" customHeight="1">
      <c r="A34" s="29">
        <v>30</v>
      </c>
      <c r="B34" s="29">
        <v>30</v>
      </c>
      <c r="C34" s="30"/>
      <c r="D34" s="31"/>
      <c r="E34" s="31"/>
      <c r="F34" s="31"/>
      <c r="H34" s="29">
        <v>30</v>
      </c>
      <c r="I34" s="29">
        <v>198</v>
      </c>
      <c r="J34" s="30">
        <v>1</v>
      </c>
      <c r="K34" s="31" t="s">
        <v>424</v>
      </c>
      <c r="L34" s="31" t="s">
        <v>425</v>
      </c>
      <c r="M34" s="31" t="s">
        <v>426</v>
      </c>
      <c r="O34" s="29">
        <v>30</v>
      </c>
      <c r="P34" s="29">
        <v>111</v>
      </c>
      <c r="Q34" s="30"/>
      <c r="R34" s="31"/>
      <c r="S34" s="31"/>
      <c r="T34" s="31"/>
      <c r="V34" s="29">
        <v>30</v>
      </c>
      <c r="W34" s="29">
        <v>149</v>
      </c>
      <c r="X34" s="30"/>
      <c r="Y34" s="31"/>
      <c r="Z34" s="31"/>
      <c r="AA34" s="31"/>
      <c r="AC34" s="29">
        <v>30</v>
      </c>
      <c r="AD34" s="29">
        <v>189</v>
      </c>
      <c r="AE34" s="30"/>
      <c r="AF34" s="31"/>
      <c r="AG34" s="31"/>
      <c r="AH34" s="31"/>
      <c r="AJ34" s="29">
        <v>30</v>
      </c>
      <c r="AK34" s="29">
        <v>229</v>
      </c>
      <c r="AL34" s="30"/>
      <c r="AM34" s="31"/>
      <c r="AN34" s="31"/>
      <c r="AO34" s="31"/>
      <c r="AP34" s="31"/>
      <c r="AR34" s="29">
        <v>30</v>
      </c>
      <c r="AS34" s="29">
        <v>269</v>
      </c>
      <c r="AT34" s="30"/>
      <c r="AU34" s="31"/>
      <c r="AV34" s="31"/>
      <c r="AW34" s="31"/>
      <c r="AY34" s="29"/>
      <c r="AZ34" s="29"/>
      <c r="BA34" s="30"/>
      <c r="BB34" s="31"/>
      <c r="BC34" s="31"/>
      <c r="BD34" s="31"/>
      <c r="BF34" s="29"/>
      <c r="BG34" s="29"/>
      <c r="BH34" s="30"/>
      <c r="BI34" s="31"/>
      <c r="BJ34" s="31"/>
      <c r="BK34" s="31"/>
      <c r="BM34" s="32"/>
      <c r="BP34" s="34"/>
      <c r="BQ34" s="34"/>
      <c r="BR34" s="34"/>
    </row>
    <row r="35" spans="1:70" ht="19.899999999999999" customHeight="1">
      <c r="A35" s="29">
        <v>31</v>
      </c>
      <c r="B35" s="29">
        <v>31</v>
      </c>
      <c r="C35" s="30"/>
      <c r="D35" s="31"/>
      <c r="E35" s="31"/>
      <c r="F35" s="31"/>
      <c r="H35" s="29">
        <v>31</v>
      </c>
      <c r="I35" s="29">
        <v>82</v>
      </c>
      <c r="J35" s="30"/>
      <c r="K35" s="31"/>
      <c r="L35" s="31"/>
      <c r="M35" s="31"/>
      <c r="O35" s="29">
        <v>31</v>
      </c>
      <c r="P35" s="29">
        <v>112</v>
      </c>
      <c r="Q35" s="30"/>
      <c r="R35" s="31"/>
      <c r="S35" s="31"/>
      <c r="T35" s="31"/>
      <c r="V35" s="29">
        <v>31</v>
      </c>
      <c r="W35" s="29">
        <v>150</v>
      </c>
      <c r="X35" s="30"/>
      <c r="Y35" s="31"/>
      <c r="Z35" s="31"/>
      <c r="AA35" s="31"/>
      <c r="AC35" s="29">
        <v>31</v>
      </c>
      <c r="AD35" s="29">
        <v>190</v>
      </c>
      <c r="AE35" s="30"/>
      <c r="AF35" s="31"/>
      <c r="AG35" s="31"/>
      <c r="AH35" s="31"/>
      <c r="AJ35" s="29">
        <v>31</v>
      </c>
      <c r="AK35" s="29">
        <v>230</v>
      </c>
      <c r="AL35" s="30"/>
      <c r="AM35" s="31"/>
      <c r="AN35" s="31"/>
      <c r="AO35" s="31"/>
      <c r="AP35" s="31"/>
      <c r="AR35" s="29">
        <v>31</v>
      </c>
      <c r="AS35" s="29">
        <v>270</v>
      </c>
      <c r="AT35" s="30"/>
      <c r="AU35" s="31"/>
      <c r="AV35" s="31"/>
      <c r="AW35" s="31"/>
      <c r="AY35" s="29"/>
      <c r="AZ35" s="29"/>
      <c r="BA35" s="30"/>
      <c r="BB35" s="31"/>
      <c r="BC35" s="31"/>
      <c r="BD35" s="31"/>
      <c r="BF35" s="29"/>
      <c r="BG35" s="29"/>
      <c r="BH35" s="30"/>
      <c r="BI35" s="31"/>
      <c r="BJ35" s="31"/>
      <c r="BK35" s="31"/>
      <c r="BM35" s="32"/>
      <c r="BN35" s="33"/>
      <c r="BO35" s="32"/>
      <c r="BP35" s="34"/>
      <c r="BQ35" s="34"/>
      <c r="BR35" s="34"/>
    </row>
    <row r="36" spans="1:70" ht="19.899999999999999" customHeight="1">
      <c r="A36" s="29"/>
      <c r="B36" s="29"/>
      <c r="C36" s="30"/>
      <c r="D36" s="31"/>
      <c r="E36" s="31"/>
      <c r="F36" s="31"/>
      <c r="H36" s="29"/>
      <c r="I36" s="29"/>
      <c r="J36" s="30"/>
      <c r="K36" s="31"/>
      <c r="L36" s="31"/>
      <c r="M36" s="31"/>
      <c r="O36" s="29"/>
      <c r="P36" s="29"/>
      <c r="Q36" s="30"/>
      <c r="R36" s="31"/>
      <c r="S36" s="31"/>
      <c r="T36" s="31"/>
      <c r="V36" s="29">
        <v>32</v>
      </c>
      <c r="W36" s="29">
        <v>151</v>
      </c>
      <c r="X36" s="30"/>
      <c r="Y36" s="31"/>
      <c r="Z36" s="31"/>
      <c r="AA36" s="31"/>
      <c r="AC36" s="29">
        <v>32</v>
      </c>
      <c r="AD36" s="29">
        <v>191</v>
      </c>
      <c r="AE36" s="30"/>
      <c r="AF36" s="31"/>
      <c r="AG36" s="31"/>
      <c r="AH36" s="31"/>
      <c r="AJ36" s="29">
        <v>32</v>
      </c>
      <c r="AK36" s="29">
        <v>231</v>
      </c>
      <c r="AL36" s="30"/>
      <c r="AM36" s="31"/>
      <c r="AN36" s="31"/>
      <c r="AO36" s="31"/>
      <c r="AP36" s="31"/>
      <c r="AR36" s="29">
        <v>32</v>
      </c>
      <c r="AS36" s="29">
        <v>271</v>
      </c>
      <c r="AT36" s="30"/>
      <c r="AU36" s="31"/>
      <c r="AV36" s="31"/>
      <c r="AW36" s="31"/>
      <c r="AY36" s="29"/>
      <c r="AZ36" s="29"/>
      <c r="BA36" s="30"/>
      <c r="BB36" s="31"/>
      <c r="BC36" s="31"/>
      <c r="BD36" s="31"/>
      <c r="BF36" s="29"/>
      <c r="BG36" s="29"/>
      <c r="BH36" s="30"/>
      <c r="BI36" s="31"/>
      <c r="BJ36" s="31"/>
      <c r="BK36" s="31"/>
    </row>
    <row r="37" spans="1:70" ht="15" customHeight="1">
      <c r="A37" s="29"/>
      <c r="B37" s="29"/>
      <c r="C37" s="37"/>
      <c r="D37" s="37"/>
      <c r="E37" s="37"/>
      <c r="F37" s="37"/>
      <c r="H37" s="29"/>
      <c r="I37" s="29"/>
      <c r="J37" s="30"/>
      <c r="K37" s="31"/>
      <c r="L37" s="31"/>
      <c r="M37" s="31"/>
      <c r="O37" s="29"/>
      <c r="P37" s="29"/>
      <c r="Q37" s="30"/>
      <c r="R37" s="31"/>
      <c r="S37" s="31"/>
      <c r="T37" s="31"/>
      <c r="V37" s="29">
        <v>33</v>
      </c>
      <c r="W37" s="29">
        <v>152</v>
      </c>
      <c r="X37" s="30"/>
      <c r="Y37" s="31"/>
      <c r="Z37" s="31"/>
      <c r="AA37" s="31"/>
      <c r="AC37" s="29">
        <v>33</v>
      </c>
      <c r="AD37" s="29">
        <v>192</v>
      </c>
      <c r="AE37" s="30"/>
      <c r="AF37" s="31"/>
      <c r="AG37" s="31"/>
      <c r="AH37" s="31"/>
      <c r="AJ37" s="29">
        <v>33</v>
      </c>
      <c r="AK37" s="29">
        <v>232</v>
      </c>
      <c r="AL37" s="30"/>
      <c r="AM37" s="31"/>
      <c r="AN37" s="31"/>
      <c r="AO37" s="31"/>
      <c r="AP37" s="36"/>
      <c r="AR37" s="29">
        <v>33</v>
      </c>
      <c r="AS37" s="29">
        <v>272</v>
      </c>
      <c r="AT37" s="30"/>
      <c r="AU37" s="31"/>
      <c r="AV37" s="31"/>
      <c r="AW37" s="31"/>
      <c r="AY37" s="29"/>
      <c r="AZ37" s="29"/>
      <c r="BA37" s="30"/>
      <c r="BB37" s="31"/>
      <c r="BC37" s="31"/>
      <c r="BD37" s="31"/>
      <c r="BF37" s="29"/>
      <c r="BG37" s="29"/>
      <c r="BH37" s="30"/>
      <c r="BI37" s="31"/>
      <c r="BJ37" s="31"/>
      <c r="BK37" s="31"/>
    </row>
    <row r="38" spans="1:70" ht="15" customHeight="1">
      <c r="O38" s="32"/>
      <c r="P38" s="40"/>
      <c r="Q38" s="32"/>
      <c r="R38" s="41"/>
      <c r="S38" s="41"/>
      <c r="T38" s="41"/>
      <c r="AC38" s="29"/>
      <c r="AD38" s="29"/>
      <c r="AE38" s="30"/>
      <c r="AF38" s="31"/>
      <c r="AG38" s="31"/>
      <c r="AH38" s="31"/>
      <c r="AJ38" s="29"/>
      <c r="AK38" s="29"/>
      <c r="AL38" s="30"/>
      <c r="AM38" s="31"/>
      <c r="AN38" s="31"/>
      <c r="AO38" s="31"/>
      <c r="AR38" s="29"/>
      <c r="AS38" s="29"/>
      <c r="AT38" s="30"/>
      <c r="AU38" s="31"/>
      <c r="AV38" s="31"/>
      <c r="AW38" s="31"/>
    </row>
    <row r="39" spans="1:70" ht="15" customHeight="1">
      <c r="O39" s="32"/>
      <c r="P39" s="40"/>
      <c r="Q39" s="32"/>
      <c r="R39" s="41"/>
      <c r="S39" s="41"/>
      <c r="T39" s="41"/>
      <c r="AC39" s="29"/>
      <c r="AD39" s="29"/>
      <c r="AE39" s="30"/>
      <c r="AF39" s="31"/>
      <c r="AG39" s="31"/>
      <c r="AH39" s="31"/>
    </row>
    <row r="42" spans="1:70" ht="15" customHeight="1">
      <c r="G42" s="24"/>
    </row>
    <row r="43" spans="1:70" ht="15" customHeight="1">
      <c r="G43" s="24"/>
    </row>
    <row r="44" spans="1:70" ht="15" customHeight="1">
      <c r="G44" s="24"/>
    </row>
    <row r="45" spans="1:70" ht="15" customHeight="1">
      <c r="G45" s="24"/>
    </row>
    <row r="46" spans="1:70" ht="15" customHeight="1">
      <c r="G46" s="24"/>
    </row>
    <row r="47" spans="1:70" ht="15" customHeight="1">
      <c r="G47" s="24"/>
    </row>
    <row r="48" spans="1:70" ht="15" customHeight="1">
      <c r="G48" s="24"/>
    </row>
    <row r="49" spans="7:7" ht="15" customHeight="1">
      <c r="G49" s="24"/>
    </row>
    <row r="50" spans="7:7" ht="15" customHeight="1">
      <c r="G50" s="24"/>
    </row>
    <row r="51" spans="7:7" ht="15" customHeight="1">
      <c r="G51" s="24"/>
    </row>
    <row r="52" spans="7:7" ht="15" customHeight="1">
      <c r="G52" s="24"/>
    </row>
    <row r="53" spans="7:7" ht="15" customHeight="1">
      <c r="G53" s="24"/>
    </row>
    <row r="54" spans="7:7" ht="15" customHeight="1">
      <c r="G54" s="24"/>
    </row>
    <row r="55" spans="7:7" ht="15" customHeight="1">
      <c r="G55" s="24"/>
    </row>
    <row r="56" spans="7:7" ht="15" customHeight="1">
      <c r="G56" s="24"/>
    </row>
    <row r="57" spans="7:7" ht="15" customHeight="1">
      <c r="G57" s="24"/>
    </row>
    <row r="58" spans="7:7" ht="15" customHeight="1">
      <c r="G58" s="24"/>
    </row>
    <row r="59" spans="7:7" ht="15" customHeight="1">
      <c r="G59" s="24"/>
    </row>
    <row r="60" spans="7:7" ht="15" customHeight="1">
      <c r="G60" s="24"/>
    </row>
    <row r="61" spans="7:7" ht="15" customHeight="1">
      <c r="G61" s="24"/>
    </row>
    <row r="62" spans="7:7" ht="15" customHeight="1">
      <c r="G62" s="24"/>
    </row>
    <row r="63" spans="7:7" ht="15" customHeight="1">
      <c r="G63" s="24"/>
    </row>
    <row r="64" spans="7:7" ht="15" customHeight="1">
      <c r="G64" s="24"/>
    </row>
    <row r="65" spans="7:7" ht="15" customHeight="1">
      <c r="G65" s="24"/>
    </row>
    <row r="66" spans="7:7" ht="15" customHeight="1">
      <c r="G66" s="24"/>
    </row>
    <row r="67" spans="7:7" ht="15" customHeight="1">
      <c r="G67" s="24"/>
    </row>
    <row r="68" spans="7:7" ht="15" customHeight="1">
      <c r="G68" s="24"/>
    </row>
    <row r="69" spans="7:7" ht="15" customHeight="1">
      <c r="G69" s="24"/>
    </row>
    <row r="70" spans="7:7" ht="15" customHeight="1">
      <c r="G70" s="24"/>
    </row>
    <row r="71" spans="7:7" ht="15" customHeight="1">
      <c r="G71" s="24"/>
    </row>
    <row r="72" spans="7:7" ht="15" customHeight="1">
      <c r="G72" s="24"/>
    </row>
    <row r="73" spans="7:7" ht="15" customHeight="1">
      <c r="G73" s="24"/>
    </row>
    <row r="74" spans="7:7" ht="15" customHeight="1">
      <c r="G74" s="24"/>
    </row>
    <row r="75" spans="7:7" ht="15" customHeight="1">
      <c r="G75" s="24"/>
    </row>
    <row r="76" spans="7:7" ht="15" customHeight="1">
      <c r="G76" s="24"/>
    </row>
    <row r="77" spans="7:7" ht="15" customHeight="1">
      <c r="G77" s="24"/>
    </row>
    <row r="78" spans="7:7" ht="15" customHeight="1">
      <c r="G78" s="24"/>
    </row>
    <row r="79" spans="7:7" ht="15" customHeight="1">
      <c r="G79" s="24"/>
    </row>
    <row r="80" spans="7:7" ht="15" customHeight="1">
      <c r="G80" s="24"/>
    </row>
    <row r="81" spans="7:7" ht="15" customHeight="1">
      <c r="G81" s="24"/>
    </row>
    <row r="82" spans="7:7" ht="15" customHeight="1">
      <c r="G82" s="24"/>
    </row>
    <row r="83" spans="7:7" ht="15" customHeight="1">
      <c r="G83" s="24"/>
    </row>
    <row r="84" spans="7:7" ht="15" customHeight="1">
      <c r="G84" s="24"/>
    </row>
    <row r="85" spans="7:7" ht="15" customHeight="1">
      <c r="G85" s="24"/>
    </row>
    <row r="86" spans="7:7" ht="15" customHeight="1">
      <c r="G86" s="24"/>
    </row>
    <row r="87" spans="7:7" ht="15" customHeight="1">
      <c r="G87" s="24"/>
    </row>
    <row r="88" spans="7:7" ht="15" customHeight="1">
      <c r="G88" s="24"/>
    </row>
    <row r="89" spans="7:7" ht="15" customHeight="1">
      <c r="G89" s="24"/>
    </row>
    <row r="90" spans="7:7" ht="15" customHeight="1">
      <c r="G90" s="24"/>
    </row>
    <row r="91" spans="7:7" ht="15" customHeight="1">
      <c r="G91" s="24"/>
    </row>
    <row r="92" spans="7:7" ht="15" customHeight="1">
      <c r="G92" s="24"/>
    </row>
    <row r="93" spans="7:7" ht="15" customHeight="1">
      <c r="G93" s="24"/>
    </row>
    <row r="94" spans="7:7" ht="15" customHeight="1">
      <c r="G94" s="24"/>
    </row>
    <row r="95" spans="7:7" ht="15" customHeight="1">
      <c r="G95" s="24"/>
    </row>
    <row r="96" spans="7:7" ht="15" customHeight="1">
      <c r="G96" s="24"/>
    </row>
    <row r="97" spans="7:7" ht="15" customHeight="1">
      <c r="G97" s="24"/>
    </row>
    <row r="98" spans="7:7" ht="15" customHeight="1">
      <c r="G98" s="24"/>
    </row>
    <row r="99" spans="7:7" ht="15" customHeight="1">
      <c r="G99" s="24"/>
    </row>
    <row r="100" spans="7:7" ht="15" customHeight="1">
      <c r="G100" s="24"/>
    </row>
    <row r="101" spans="7:7" ht="15" customHeight="1">
      <c r="G101" s="24"/>
    </row>
    <row r="102" spans="7:7" ht="15" customHeight="1">
      <c r="G102" s="24"/>
    </row>
    <row r="103" spans="7:7" ht="15" customHeight="1">
      <c r="G103" s="24"/>
    </row>
    <row r="104" spans="7:7" ht="15" customHeight="1">
      <c r="G104" s="24"/>
    </row>
    <row r="105" spans="7:7" ht="15" customHeight="1">
      <c r="G105" s="24"/>
    </row>
    <row r="106" spans="7:7" ht="15" customHeight="1">
      <c r="G106" s="24"/>
    </row>
    <row r="107" spans="7:7" ht="15" customHeight="1">
      <c r="G107" s="24"/>
    </row>
    <row r="108" spans="7:7" ht="15" customHeight="1">
      <c r="G108" s="24"/>
    </row>
    <row r="109" spans="7:7" ht="15" customHeight="1">
      <c r="G109" s="24"/>
    </row>
    <row r="110" spans="7:7" ht="15" customHeight="1">
      <c r="G110" s="24"/>
    </row>
    <row r="111" spans="7:7" ht="15" customHeight="1">
      <c r="G111" s="24"/>
    </row>
    <row r="112" spans="7:7" ht="15" customHeight="1">
      <c r="G112" s="24"/>
    </row>
    <row r="113" spans="7:7" ht="15" customHeight="1">
      <c r="G113" s="24"/>
    </row>
    <row r="114" spans="7:7" ht="15" customHeight="1">
      <c r="G114" s="24"/>
    </row>
    <row r="115" spans="7:7" ht="15" customHeight="1">
      <c r="G115" s="24"/>
    </row>
    <row r="117" spans="7:7" ht="15.75" customHeight="1"/>
    <row r="118" spans="7:7" ht="15.75" customHeight="1"/>
    <row r="119" spans="7:7" ht="15.75" customHeight="1"/>
    <row r="120" spans="7:7" ht="15.75" customHeight="1"/>
    <row r="121" spans="7:7" ht="15.75" customHeight="1"/>
    <row r="122" spans="7:7" ht="15.75" customHeight="1"/>
    <row r="123" spans="7:7" ht="15.75" customHeight="1"/>
    <row r="124" spans="7:7" ht="15.75" customHeight="1"/>
    <row r="125" spans="7:7" ht="15.75" customHeight="1"/>
    <row r="126" spans="7:7" ht="15.75" customHeight="1"/>
    <row r="127" spans="7:7" ht="15.75" customHeight="1"/>
    <row r="128" spans="7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</sheetData>
  <mergeCells count="42">
    <mergeCell ref="BP2:BP3"/>
    <mergeCell ref="BH2:BH3"/>
    <mergeCell ref="BI2:BI3"/>
    <mergeCell ref="BM2:BM3"/>
    <mergeCell ref="BN2:BN3"/>
    <mergeCell ref="BO2:BO3"/>
    <mergeCell ref="AZ2:AZ3"/>
    <mergeCell ref="BA2:BA3"/>
    <mergeCell ref="BB2:BB3"/>
    <mergeCell ref="BF2:BF3"/>
    <mergeCell ref="BG2:BG3"/>
    <mergeCell ref="AR2:AR3"/>
    <mergeCell ref="AS2:AS3"/>
    <mergeCell ref="AT2:AT3"/>
    <mergeCell ref="AU2:AU3"/>
    <mergeCell ref="AY2:AY3"/>
    <mergeCell ref="AF2:AF3"/>
    <mergeCell ref="AJ2:AJ3"/>
    <mergeCell ref="AK2:AK3"/>
    <mergeCell ref="AL2:AL3"/>
    <mergeCell ref="AM2:AM3"/>
    <mergeCell ref="X2:X3"/>
    <mergeCell ref="Y2:Y3"/>
    <mergeCell ref="AC2:AC3"/>
    <mergeCell ref="AD2:AD3"/>
    <mergeCell ref="AE2:AE3"/>
    <mergeCell ref="P2:P3"/>
    <mergeCell ref="Q2:Q3"/>
    <mergeCell ref="R2:R3"/>
    <mergeCell ref="V2:V3"/>
    <mergeCell ref="W2:W3"/>
    <mergeCell ref="H2:H3"/>
    <mergeCell ref="I2:I3"/>
    <mergeCell ref="J2:J3"/>
    <mergeCell ref="K2:K3"/>
    <mergeCell ref="O2:O3"/>
    <mergeCell ref="A1:C1"/>
    <mergeCell ref="D1:F1"/>
    <mergeCell ref="A2:A3"/>
    <mergeCell ref="B2:B3"/>
    <mergeCell ref="C2:C3"/>
    <mergeCell ref="D2:D3"/>
  </mergeCells>
  <pageMargins left="0.7" right="0.7" top="0.75" bottom="0.75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topLeftCell="A4" workbookViewId="0">
      <selection activeCell="D30" sqref="D30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занятий'!A1,"-",'Даты занятий'!B1)</f>
        <v>251-БИВ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45917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45924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45931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45938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45910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45910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45912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45919</v>
      </c>
      <c r="X4" s="57" t="e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#REF!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45924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45926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45931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45938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131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Амеличев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Иван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132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Бондарь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Алёна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/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133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Брагута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Иван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134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Воронцова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Алиса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/>
      <c r="P8" s="65"/>
      <c r="Q8" s="66"/>
      <c r="R8" s="67"/>
      <c r="S8" s="68">
        <f t="shared" si="3"/>
        <v>0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</v>
      </c>
      <c r="AF8" s="75">
        <f t="shared" si="6"/>
        <v>0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135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Горбунов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Демид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136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Григоращенко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Алексей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137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Грицук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Иван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>
        <v>2</v>
      </c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138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Евсеева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Елизавета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139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Захаров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Даниил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140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Зотов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Савелий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141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Ивочкин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Никита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142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Карташев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Матвей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>
        <v>2</v>
      </c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143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Кленов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Дмитрий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144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Комин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Вадим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/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145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Коротеев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Семён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146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Кучеев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Вадим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>
        <v>2</v>
      </c>
      <c r="P20" s="65"/>
      <c r="Q20" s="66"/>
      <c r="R20" s="67"/>
      <c r="S20" s="68">
        <f t="shared" si="3"/>
        <v>0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</v>
      </c>
      <c r="AF20" s="75">
        <f t="shared" si="6"/>
        <v>0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147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Луцик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Глеб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P21" s="65"/>
      <c r="Q21" s="66"/>
      <c r="R21" s="67"/>
      <c r="S21" s="68">
        <f t="shared" si="3"/>
        <v>0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</v>
      </c>
      <c r="AF21" s="75">
        <f t="shared" si="6"/>
        <v>0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148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Мамбетов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Егор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149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Парахин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Севастьян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150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Пивень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Степан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>
        <v>2</v>
      </c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151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Пилипенко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Дмитрий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152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Прядкин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Максим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153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Тиманова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Эльвина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154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Туровский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Леонид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155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Федяков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Кирилл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156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Хитров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Александр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157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Шемет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Владислав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158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Шумак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Максим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/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45932</v>
      </c>
      <c r="G33" s="80">
        <v>10</v>
      </c>
      <c r="H33" s="79">
        <f>$H$36</f>
        <v>45946</v>
      </c>
      <c r="I33" s="80">
        <v>10</v>
      </c>
      <c r="J33" s="79">
        <f>$H$36</f>
        <v>45946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45932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45946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45932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45946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45939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45939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45946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45946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28</v>
      </c>
      <c r="P38" s="108" t="str">
        <f ca="1">IF(TODAY()&gt;=P4,COUNTBLANK(#REF!)+COUNTIF(#REF!,0),"---")</f>
        <v>---</v>
      </c>
      <c r="Q38" s="108" t="str">
        <f ca="1">IF(TODAY()&gt;=Q4,COUNTBLANK(Q5:Q32)+COUNTIF(Q5:Q32,0),"---")</f>
        <v>---</v>
      </c>
      <c r="R38" s="109" t="str">
        <f ca="1">IF(TODAY()&gt;=R4,COUNTBLANK(R5:R32)+COUNTIF(R5:R32,0),"---")</f>
        <v>---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>
        <f t="shared" ca="1" si="8"/>
        <v>28</v>
      </c>
      <c r="W38" s="109">
        <f t="shared" ca="1" si="8"/>
        <v>28</v>
      </c>
      <c r="X38" s="109" t="e">
        <f t="shared" ca="1" si="8"/>
        <v>#REF!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3"/>
  <sheetViews>
    <sheetView workbookViewId="0">
      <selection activeCell="H26" sqref="H26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5" width="6.710937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занятий'!A2,"-",'Даты занятий'!B2)</f>
        <v>252-БИВ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45910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45917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45924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45931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45910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45910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45912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45919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45924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45926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45931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45938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171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Баранова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Мария</v>
      </c>
      <c r="F5" s="60"/>
      <c r="G5" s="61"/>
      <c r="H5" s="60"/>
      <c r="I5" s="61"/>
      <c r="J5" s="60"/>
      <c r="K5" s="61"/>
      <c r="L5" s="62">
        <f t="shared" ref="L5:L34" si="0">IF(C5=1,IF(AND(F5&lt;&gt;"----",F5),((10-G$35)+IF(G5&lt;=G$35,G5,G$35))*IF(F5=0,0,IF(F5&lt;=G$38,$E$38,IF(F5&lt;=G$39,$E$39,IF(F5&lt;=G$40,$E$40,0))))*F$36*0.1,0),IF(AND(F5&lt;&gt;"----",F5),((10-G$35)+IF(G5&lt;=G$35,G5,G$35))*IF(F5=0,0,IF(F5&lt;=L$38,$J$38,IF(F5&lt;=L$39,$J$39,IF(F5&lt;=L$40,$J$40,0))))*F$36*0.1,0))</f>
        <v>0</v>
      </c>
      <c r="M5" s="62">
        <f t="shared" ref="M5:M34" si="1">IF(C5=1,IF(AND(H5&lt;&gt;"----",H5),((10-I$35)+IF(I5&lt;=$I$35,I5,I$35))*IF(H5=0,0,IF(H5&lt;=$H$38,$E$38,IF(H5&lt;=$H$39,$E$38,IF(H5&lt;=$H$40,$E$40,0))))*H$36*0.1,0)+IF(AND(J5&lt;&gt;"----",J5),((10-K$35)+IF(K5&lt;=$I$35,K5,K$35))*IF(J5=0,0,IF(J5&lt;=$H$38,$E$38,IF(J5&lt;=$H$39,$E$38,IF(J5&lt;=$H$40,$E$39,0))))*J$36*0.1,0),  IF(AND(H5&lt;&gt;"----",H5),((10-I$35)+IF(I5&lt;=$I$35,I5,I$35))*IF(H5=0,0,IF(H5&lt;=$M$38,$J$38,IF(H5&lt;=$M$39,$J$39,IF(H5&lt;=$M$40,$J$40,0))))*H$36*0.1,0)+IF(AND(J5&lt;&gt;"----",J5),((10-K$35)+IF(K5&lt;=$K$35,K5,K$35))*IF(J5=0,0,IF(J5&lt;=$M$38,$J$38,IF(J5&lt;=$M$39,$J$39,IF(J5&lt;=$M$40,$J$40,0))))*J$36*0.1,0))</f>
        <v>0</v>
      </c>
      <c r="N5" s="63">
        <f t="shared" ref="N5:N35" si="2">CEILING(SUM(L5:M5)*10/SUM($L$35:$M$35),0.1)</f>
        <v>0</v>
      </c>
      <c r="O5" s="64"/>
      <c r="P5" s="65"/>
      <c r="Q5" s="66"/>
      <c r="R5" s="67"/>
      <c r="S5" s="68">
        <f t="shared" ref="S5:S34" si="3">CEILING(SUM(P5:R5)*10/SUM($O$35:$R$35),0.1)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5" si="4">CEILING(SUM(T5:AC5)*10/SUM($T$35:$AC$35),0.1)</f>
        <v>0</v>
      </c>
      <c r="AE5" s="74">
        <f t="shared" ref="AE5:AE34" si="5">N5*$N$36+S5*$S$36+AD5*$AD$36</f>
        <v>0</v>
      </c>
      <c r="AF5" s="75">
        <f t="shared" ref="AF5:AF35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172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Васина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Наталья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/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173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Воробьев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Леонид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174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Галкин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Михаил</v>
      </c>
      <c r="F8" s="60">
        <v>45919</v>
      </c>
      <c r="G8" s="61">
        <v>10</v>
      </c>
      <c r="H8" s="60"/>
      <c r="I8" s="61"/>
      <c r="J8" s="60"/>
      <c r="K8" s="61"/>
      <c r="L8" s="62">
        <f t="shared" si="0"/>
        <v>3</v>
      </c>
      <c r="M8" s="62">
        <f t="shared" si="1"/>
        <v>0</v>
      </c>
      <c r="N8" s="63">
        <f t="shared" si="2"/>
        <v>4.3</v>
      </c>
      <c r="O8" s="64">
        <v>2</v>
      </c>
      <c r="P8" s="65">
        <v>2</v>
      </c>
      <c r="Q8" s="66"/>
      <c r="R8" s="67"/>
      <c r="S8" s="68">
        <f t="shared" si="3"/>
        <v>6.7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3.6799999999999997</v>
      </c>
      <c r="AF8" s="75">
        <f t="shared" si="6"/>
        <v>4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175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Демина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Анна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176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Егорычев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Даниил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177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Еремкин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Константин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178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Иванов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Никита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179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Капитанов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Антон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180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Капустин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Роман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181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Коноплев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Кирилл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182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Кузнецова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Арина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/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183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Лубенец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Илья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>
        <v>2</v>
      </c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184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Макейчук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Владислава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/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185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Муртазин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Амир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186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Никишин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Арсений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>
        <v>2</v>
      </c>
      <c r="P20" s="65">
        <v>2</v>
      </c>
      <c r="Q20" s="66"/>
      <c r="R20" s="67"/>
      <c r="S20" s="68">
        <f t="shared" si="3"/>
        <v>6.7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0.67</v>
      </c>
      <c r="AF20" s="75">
        <f t="shared" si="6"/>
        <v>1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187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Озерков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Дмитрий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P21" s="65"/>
      <c r="Q21" s="66"/>
      <c r="R21" s="67"/>
      <c r="S21" s="68">
        <f t="shared" si="3"/>
        <v>0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</v>
      </c>
      <c r="AF21" s="75">
        <f t="shared" si="6"/>
        <v>0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188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Печенкин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Егор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>
        <v>2</v>
      </c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189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Плотникова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Таисия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190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Плохих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Артём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/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191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Родионов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Игорь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192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Федорова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Вероника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193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Холкина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Арина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194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Христианов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Илья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195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Чернышёва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Алиса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>
        <v>2</v>
      </c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196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Шведов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Дмитрий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197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Шибитов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Лукьян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198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Юсупов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Салман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/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59">
        <f>IF(LEFT($H$1,3)="251",'списки групп'!A33,IF(LEFT($H$1,3)="252",'списки групп'!H33,IF(LEFT($H$1,3)="253",'списки групп'!O33,IF(LEFT($H$1,3)="254",'списки групп'!V33,IF(LEFT($H$1,3)="255",'списки групп'!AC33,IF(LEFT($H$1,3)="256",'списки групп'!AJ33,IF(LEFT($H$1,3)="257",'списки групп'!AR33,IF(LEFT($H$1,3)="258",'списки групп'!AY33,IF(LEFT($H$1,3)="259",'списки групп'!BF33,)))))))))</f>
        <v>29</v>
      </c>
      <c r="B33" s="59">
        <f>IF(LEFT($H$1,3)="251",'списки групп'!B33,IF(LEFT($H$1,3)="252",'списки групп'!I33,IF(LEFT($H$1,3)="253",'списки групп'!P33,IF(LEFT($H$1,3)="254",'списки групп'!W33,IF(LEFT($H$1,3)="255",'списки групп'!AD33,IF(LEFT($H$1,3)="256",'списки групп'!AK33,IF(LEFT($H$1,3)="257",'списки групп'!AS33,IF(LEFT($H$1,3)="258",'списки групп'!AZ33,IF(LEFT($H$1,3)="259",'списки групп'!BG33,)))))))))</f>
        <v>197</v>
      </c>
      <c r="C33" s="59">
        <f>IF(LEFT($H$1,3)="251",'списки групп'!C33,IF(LEFT($H$1,3)="252",'списки групп'!J33,IF(LEFT($H$1,3)="253",'списки групп'!Q33,IF(LEFT($H$1,3)="254",'списки групп'!X33,IF(LEFT($H$1,3)="255",'списки групп'!AE33,IF(LEFT($H$1,3)="256",'списки групп'!AL33,IF(LEFT($H$1,3)="257",'списки групп'!AT33,IF(LEFT($H$1,3)="258",'списки групп'!BA33,IF(LEFT($H$1,3)="259",'списки групп'!BH33,)))))))))</f>
        <v>2</v>
      </c>
      <c r="D33" s="59" t="str">
        <f>IF(LEFT($H$1,3)="251",'списки групп'!D33,IF(LEFT($H$1,3)="252",'списки групп'!K33,IF(LEFT($H$1,3)="253",'списки групп'!R33,IF(LEFT($H$1,3)="254",'списки групп'!Y33,IF(LEFT($H$1,3)="255",'списки групп'!AF33,IF(LEFT($H$1,3)="256",'списки групп'!AM33,IF(LEFT($H$1,3)="257",'списки групп'!AU33,IF(LEFT($H$1,3)="258",'списки групп'!BB33,IF(LEFT($H$1,3)="259",'списки групп'!BI33,)))))))))</f>
        <v>Розыкулыев</v>
      </c>
      <c r="E33" s="59" t="str">
        <f>IF(LEFT($H$1,3)="251",'списки групп'!E33,IF(LEFT($H$1,3)="252",'списки групп'!L33,IF(LEFT($H$1,3)="253",'списки групп'!S33,IF(LEFT($H$1,3)="254",'списки групп'!Z33,IF(LEFT($H$1,3)="255",'списки групп'!AG33,IF(LEFT($H$1,3)="256",'списки групп'!AN33,IF(LEFT($H$1,3)="257",'списки групп'!AV33,IF(LEFT($H$1,3)="258",'списки групп'!BC33,IF(LEFT($H$1,3)="259",'списки групп'!BJ33,)))))))))</f>
        <v>Дияр</v>
      </c>
      <c r="F33" s="79"/>
      <c r="G33" s="80"/>
      <c r="H33" s="79"/>
      <c r="I33" s="80"/>
      <c r="J33" s="79"/>
      <c r="K33" s="80"/>
      <c r="L33" s="62">
        <f t="shared" si="0"/>
        <v>0</v>
      </c>
      <c r="M33" s="62">
        <f t="shared" si="1"/>
        <v>0</v>
      </c>
      <c r="N33" s="63">
        <f t="shared" si="2"/>
        <v>0</v>
      </c>
      <c r="O33" s="84"/>
      <c r="P33" s="85"/>
      <c r="Q33" s="85"/>
      <c r="R33" s="85"/>
      <c r="S33" s="68">
        <f t="shared" si="3"/>
        <v>0</v>
      </c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73">
        <f t="shared" si="4"/>
        <v>0</v>
      </c>
      <c r="AE33" s="74">
        <f t="shared" si="5"/>
        <v>0</v>
      </c>
      <c r="AF33" s="75">
        <f t="shared" si="6"/>
        <v>0</v>
      </c>
      <c r="AG33" s="1"/>
      <c r="AH33" s="1"/>
      <c r="AI33" s="1"/>
      <c r="AJ33" s="1"/>
      <c r="AK33" s="1"/>
      <c r="AL33" s="1"/>
    </row>
    <row r="34" spans="1:38" ht="16.5" customHeight="1">
      <c r="A34" s="59">
        <f>IF(LEFT($H$1,3)="251",'списки групп'!A34,IF(LEFT($H$1,3)="252",'списки групп'!H34,IF(LEFT($H$1,3)="253",'списки групп'!O34,IF(LEFT($H$1,3)="254",'списки групп'!V34,IF(LEFT($H$1,3)="255",'списки групп'!AC34,IF(LEFT($H$1,3)="256",'списки групп'!AJ34,IF(LEFT($H$1,3)="257",'списки групп'!AR34,IF(LEFT($H$1,3)="258",'списки групп'!AY34,IF(LEFT($H$1,3)="259",'списки групп'!BF34,)))))))))</f>
        <v>30</v>
      </c>
      <c r="B34" s="59">
        <f>IF(LEFT($H$1,3)="251",'списки групп'!B34,IF(LEFT($H$1,3)="252",'списки групп'!I34,IF(LEFT($H$1,3)="253",'списки групп'!P34,IF(LEFT($H$1,3)="254",'списки групп'!W34,IF(LEFT($H$1,3)="255",'списки групп'!AD34,IF(LEFT($H$1,3)="256",'списки групп'!AK34,IF(LEFT($H$1,3)="257",'списки групп'!AS34,IF(LEFT($H$1,3)="258",'списки групп'!AZ34,IF(LEFT($H$1,3)="259",'списки групп'!BG34,)))))))))</f>
        <v>198</v>
      </c>
      <c r="C34" s="59">
        <f>IF(LEFT($H$1,3)="251",'списки групп'!C34,IF(LEFT($H$1,3)="252",'списки групп'!J34,IF(LEFT($H$1,3)="253",'списки групп'!Q34,IF(LEFT($H$1,3)="254",'списки групп'!X34,IF(LEFT($H$1,3)="255",'списки групп'!AE34,IF(LEFT($H$1,3)="256",'списки групп'!AL34,IF(LEFT($H$1,3)="257",'списки групп'!AT34,IF(LEFT($H$1,3)="258",'списки групп'!BA34,IF(LEFT($H$1,3)="259",'списки групп'!BH34,)))))))))</f>
        <v>1</v>
      </c>
      <c r="D34" s="59" t="str">
        <f>IF(LEFT($H$1,3)="251",'списки групп'!D34,IF(LEFT($H$1,3)="252",'списки групп'!K34,IF(LEFT($H$1,3)="253",'списки групп'!R34,IF(LEFT($H$1,3)="254",'списки групп'!Y34,IF(LEFT($H$1,3)="255",'списки групп'!AF34,IF(LEFT($H$1,3)="256",'списки групп'!AM34,IF(LEFT($H$1,3)="257",'списки групп'!AU34,IF(LEFT($H$1,3)="258",'списки групп'!BB34,IF(LEFT($H$1,3)="259",'списки групп'!BI34,)))))))))</f>
        <v>Гришук</v>
      </c>
      <c r="E34" s="59" t="str">
        <f>IF(LEFT($H$1,3)="251",'списки групп'!E34,IF(LEFT($H$1,3)="252",'списки групп'!L34,IF(LEFT($H$1,3)="253",'списки групп'!S34,IF(LEFT($H$1,3)="254",'списки групп'!Z34,IF(LEFT($H$1,3)="255",'списки групп'!AG34,IF(LEFT($H$1,3)="256",'списки групп'!AN34,IF(LEFT($H$1,3)="257",'списки групп'!AV34,IF(LEFT($H$1,3)="258",'списки групп'!BC34,IF(LEFT($H$1,3)="259",'списки групп'!BJ34,)))))))))</f>
        <v>Илья</v>
      </c>
      <c r="F34" s="79"/>
      <c r="G34" s="80"/>
      <c r="H34" s="79"/>
      <c r="I34" s="80"/>
      <c r="J34" s="79"/>
      <c r="K34" s="80"/>
      <c r="L34" s="62">
        <f t="shared" si="0"/>
        <v>0</v>
      </c>
      <c r="M34" s="62">
        <f t="shared" si="1"/>
        <v>0</v>
      </c>
      <c r="N34" s="63">
        <f t="shared" si="2"/>
        <v>0</v>
      </c>
      <c r="O34" s="84"/>
      <c r="P34" s="85"/>
      <c r="Q34" s="85"/>
      <c r="R34" s="85"/>
      <c r="S34" s="68">
        <f t="shared" si="3"/>
        <v>0</v>
      </c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73">
        <f t="shared" si="4"/>
        <v>0</v>
      </c>
      <c r="AE34" s="74">
        <f t="shared" si="5"/>
        <v>0</v>
      </c>
      <c r="AF34" s="75">
        <f t="shared" si="6"/>
        <v>0</v>
      </c>
      <c r="AG34" s="1"/>
      <c r="AH34" s="1"/>
      <c r="AI34" s="1"/>
      <c r="AJ34" s="1"/>
      <c r="AK34" s="1"/>
      <c r="AL34" s="1"/>
    </row>
    <row r="35" spans="1:38" ht="16.5" customHeight="1">
      <c r="A35" s="169"/>
      <c r="B35" s="170"/>
      <c r="C35" s="171"/>
      <c r="D35" s="177" t="s">
        <v>412</v>
      </c>
      <c r="E35" s="178"/>
      <c r="F35" s="79">
        <f>$G$38</f>
        <v>45926</v>
      </c>
      <c r="G35" s="80">
        <v>10</v>
      </c>
      <c r="H35" s="79">
        <f>$H$38</f>
        <v>45940</v>
      </c>
      <c r="I35" s="80">
        <v>10</v>
      </c>
      <c r="J35" s="79">
        <f>$H$38</f>
        <v>45940</v>
      </c>
      <c r="K35" s="80">
        <v>10</v>
      </c>
      <c r="L35" s="81">
        <f>IF(AND(F35&lt;&gt;"----",F35),((10-G$35)+IF(G35&lt;=G$35,G35,G$35))*IF(F35=0,0,IF(F35&lt;=G$38,$E$38,IF(F35&lt;=G$39,$E$39,IF(F35&lt;=G$40,$E$40,0))))*F$36*0.1,0)</f>
        <v>3</v>
      </c>
      <c r="M35" s="82">
        <f>IF(AND(H35&lt;&gt;"----",H35),((10-I$35)+IF(I35&lt;=$I$35,I35,I$35))*IF(H35=0,0,IF(H35&lt;=$H$38,$E$38,IF(H35&lt;=$H$39,$E$39,IF(H35&lt;=$H$40,$E$40,0))))*H$36*0.1,0)+IF(AND(J35&lt;&gt;"----",J35),((10-K$35)+IF(K35&lt;=$I$35,K35,K$35))*IF(J35=0,0,IF(J35&lt;=$H$38,$E$38,IF(J35&lt;=$H$39,$E$39,IF(J35&lt;=$H$40,$E$40,0))))*J$36*0.1,0)</f>
        <v>4</v>
      </c>
      <c r="N35" s="83">
        <f t="shared" si="2"/>
        <v>10</v>
      </c>
      <c r="O35" s="84">
        <v>2</v>
      </c>
      <c r="P35" s="85">
        <v>1</v>
      </c>
      <c r="Q35" s="85">
        <v>0</v>
      </c>
      <c r="R35" s="85">
        <v>0</v>
      </c>
      <c r="S35" s="86">
        <f>CEILING(SUM(O35:R35)*10/SUM($O$35:$R$35),0.1)</f>
        <v>10</v>
      </c>
      <c r="T35" s="87">
        <v>0</v>
      </c>
      <c r="U35" s="87">
        <v>0</v>
      </c>
      <c r="V35" s="87">
        <v>2</v>
      </c>
      <c r="W35" s="87">
        <v>3</v>
      </c>
      <c r="X35" s="87">
        <v>0</v>
      </c>
      <c r="Y35" s="87">
        <v>0</v>
      </c>
      <c r="Z35" s="87">
        <v>0</v>
      </c>
      <c r="AA35" s="87">
        <v>0</v>
      </c>
      <c r="AB35" s="87">
        <v>0</v>
      </c>
      <c r="AC35" s="87">
        <v>0</v>
      </c>
      <c r="AD35" s="88">
        <f t="shared" si="4"/>
        <v>10</v>
      </c>
      <c r="AE35" s="74">
        <f>N35*0.7+S35*0.2+AD35*0.1</f>
        <v>10</v>
      </c>
      <c r="AF35" s="89">
        <f t="shared" si="6"/>
        <v>10</v>
      </c>
      <c r="AG35" s="1"/>
      <c r="AH35" s="1"/>
      <c r="AI35" s="1"/>
      <c r="AJ35" s="1"/>
      <c r="AK35" s="1"/>
      <c r="AL35" s="1"/>
    </row>
    <row r="36" spans="1:38" ht="16.5" customHeight="1">
      <c r="A36" s="172"/>
      <c r="B36" s="122"/>
      <c r="C36" s="173"/>
      <c r="D36" s="179" t="s">
        <v>413</v>
      </c>
      <c r="E36" s="122"/>
      <c r="F36" s="180">
        <v>3</v>
      </c>
      <c r="G36" s="181"/>
      <c r="H36" s="180">
        <v>2</v>
      </c>
      <c r="I36" s="181"/>
      <c r="J36" s="180">
        <v>2</v>
      </c>
      <c r="K36" s="181"/>
      <c r="L36" s="182" t="str">
        <f>CONCATENATE("( [0..",SUM(F36:I36),"] * 10 / ",SUM($L$35:$M$35)," ) *", )</f>
        <v>( [0..5] * 10 / 7 ) *</v>
      </c>
      <c r="M36" s="183"/>
      <c r="N36" s="90">
        <f>'Даты занятий'!C17/10</f>
        <v>0.7</v>
      </c>
      <c r="O36" s="182" t="str">
        <f>CONCATENATE("( [0..",SUM(O35:R35),"] * 10 / ",SUM($O$35:$R$35)," ) *", )</f>
        <v>( [0..3] * 10 / 3 ) *</v>
      </c>
      <c r="P36" s="184"/>
      <c r="Q36" s="183"/>
      <c r="R36" s="183"/>
      <c r="S36" s="91">
        <f>'Даты занятий'!D17/10</f>
        <v>0.1</v>
      </c>
      <c r="T36" s="182" t="str">
        <f>CONCATENATE("( [0..",SUM(T35:AC35),"] * 10 / ",SUM($T$35:$AC$35)," ) *", )</f>
        <v>( [0..5] * 10 / 5 ) *</v>
      </c>
      <c r="U36" s="183"/>
      <c r="V36" s="183"/>
      <c r="W36" s="183"/>
      <c r="X36" s="183"/>
      <c r="Y36" s="183"/>
      <c r="Z36" s="183"/>
      <c r="AA36" s="183"/>
      <c r="AB36" s="183"/>
      <c r="AC36" s="183"/>
      <c r="AD36" s="91">
        <f>'Даты занятий'!E17/10</f>
        <v>0.2</v>
      </c>
      <c r="AE36" s="74"/>
      <c r="AF36" s="92">
        <f>'Даты занятий'!C18/10</f>
        <v>0</v>
      </c>
      <c r="AG36" s="1"/>
      <c r="AH36" s="1"/>
      <c r="AI36" s="1"/>
      <c r="AJ36" s="1"/>
      <c r="AK36" s="1"/>
      <c r="AL36" s="1"/>
    </row>
    <row r="37" spans="1:38" ht="16.5" customHeight="1">
      <c r="A37" s="174"/>
      <c r="B37" s="175"/>
      <c r="C37" s="176"/>
      <c r="D37" s="185" t="s">
        <v>414</v>
      </c>
      <c r="E37" s="186"/>
      <c r="F37" s="187">
        <f>(F36/SUM($F$36:$I$36))*$N$36*10</f>
        <v>4.2</v>
      </c>
      <c r="G37" s="188"/>
      <c r="H37" s="187">
        <f>(H36/SUM($F$36:$I$36))*$N$36*10</f>
        <v>2.8</v>
      </c>
      <c r="I37" s="189"/>
      <c r="J37" s="187">
        <f>(J36/SUM($F$36:$I$36))*$N$36*10</f>
        <v>2.8</v>
      </c>
      <c r="K37" s="188"/>
      <c r="L37" s="93">
        <f>(SUM(F36)/SUM($F$36:$K$36))*$N$36*10</f>
        <v>3</v>
      </c>
      <c r="M37" s="93">
        <f>(SUM(H36:K36)/SUM($F$36:$I$36))*$N$36*10</f>
        <v>5.6</v>
      </c>
      <c r="N37" s="94"/>
      <c r="O37" s="95">
        <f>O35*10/SUM($O$35:$R$35)*$S$36</f>
        <v>0.66666666666666674</v>
      </c>
      <c r="P37" s="95">
        <f>P35*10/SUM($O$35:$R$35)*$S$36</f>
        <v>0.33333333333333337</v>
      </c>
      <c r="Q37" s="95">
        <f>Q35*10/SUM($O$35:$R$35)*$S$36</f>
        <v>0</v>
      </c>
      <c r="R37" s="95">
        <f>R35*10/SUM($O$35:$R$35)*$S$36</f>
        <v>0</v>
      </c>
      <c r="S37" s="96"/>
      <c r="T37" s="95">
        <f t="shared" ref="T37:AC37" si="7">T35*10/SUM($T$35:$AC$35)*$AD$36</f>
        <v>0</v>
      </c>
      <c r="U37" s="95">
        <f t="shared" si="7"/>
        <v>0</v>
      </c>
      <c r="V37" s="95">
        <f t="shared" si="7"/>
        <v>0.8</v>
      </c>
      <c r="W37" s="95">
        <f t="shared" si="7"/>
        <v>1.2000000000000002</v>
      </c>
      <c r="X37" s="95">
        <f t="shared" si="7"/>
        <v>0</v>
      </c>
      <c r="Y37" s="95">
        <f t="shared" si="7"/>
        <v>0</v>
      </c>
      <c r="Z37" s="95">
        <f t="shared" si="7"/>
        <v>0</v>
      </c>
      <c r="AA37" s="95">
        <f t="shared" si="7"/>
        <v>0</v>
      </c>
      <c r="AB37" s="95">
        <f t="shared" si="7"/>
        <v>0</v>
      </c>
      <c r="AC37" s="95">
        <f t="shared" si="7"/>
        <v>0</v>
      </c>
      <c r="AD37" s="97"/>
      <c r="AE37" s="98"/>
      <c r="AF37" s="99"/>
      <c r="AG37" s="100"/>
      <c r="AH37" s="100"/>
      <c r="AI37" s="100"/>
      <c r="AJ37" s="100"/>
      <c r="AK37" s="100"/>
      <c r="AL37" s="100"/>
    </row>
    <row r="38" spans="1:38" ht="16.5" customHeight="1">
      <c r="A38" s="1"/>
      <c r="B38" s="1"/>
      <c r="C38" s="1"/>
      <c r="D38" s="123">
        <v>1</v>
      </c>
      <c r="E38" s="191">
        <f>'Даты занятий'!C20</f>
        <v>1</v>
      </c>
      <c r="F38" s="192"/>
      <c r="G38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45926</v>
      </c>
      <c r="H38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45940</v>
      </c>
      <c r="I38" s="123">
        <v>2</v>
      </c>
      <c r="J38" s="191">
        <f>'Даты занятий'!C24</f>
        <v>1</v>
      </c>
      <c r="K38" s="192"/>
      <c r="L38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45926</v>
      </c>
      <c r="M38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45940</v>
      </c>
      <c r="N38" s="193"/>
      <c r="O38" s="139" t="s">
        <v>415</v>
      </c>
      <c r="P38" s="139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96"/>
      <c r="AD38" s="197"/>
      <c r="AE38" s="198" t="str">
        <f>CONCATENATE("Дата окончания ",'Даты занятий'!R14," модуля", )</f>
        <v>Дата окончания 1 модуля</v>
      </c>
      <c r="AF38" s="200">
        <f>'Даты занятий'!J14</f>
        <v>45956</v>
      </c>
      <c r="AG38" s="1"/>
      <c r="AH38" s="1"/>
      <c r="AI38" s="1"/>
      <c r="AJ38" s="1"/>
      <c r="AK38" s="1"/>
      <c r="AL38" s="1"/>
    </row>
    <row r="39" spans="1:38" ht="16.5" customHeight="1">
      <c r="A39" s="103" t="s">
        <v>416</v>
      </c>
      <c r="B39" s="1"/>
      <c r="C39" s="1"/>
      <c r="D39" s="123"/>
      <c r="E39" s="191">
        <f>'Даты занятий'!C21</f>
        <v>0.6</v>
      </c>
      <c r="F39" s="192"/>
      <c r="G39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45933</v>
      </c>
      <c r="H39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9" s="123"/>
      <c r="J39" s="191">
        <f>'Даты занятий'!C25</f>
        <v>0.6</v>
      </c>
      <c r="K39" s="192"/>
      <c r="L39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45933</v>
      </c>
      <c r="M39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9" s="194"/>
      <c r="O39" s="202" t="s">
        <v>417</v>
      </c>
      <c r="P39" s="203"/>
      <c r="Q39" s="140"/>
      <c r="R39" s="140"/>
      <c r="S39" s="204"/>
      <c r="T39" s="155" t="s">
        <v>418</v>
      </c>
      <c r="U39" s="150"/>
      <c r="V39" s="150"/>
      <c r="W39" s="150"/>
      <c r="X39" s="150"/>
      <c r="Y39" s="150"/>
      <c r="Z39" s="150"/>
      <c r="AA39" s="150"/>
      <c r="AB39" s="150"/>
      <c r="AC39" s="164"/>
      <c r="AD39" s="172"/>
      <c r="AE39" s="158"/>
      <c r="AF39" s="161"/>
      <c r="AG39" s="1"/>
      <c r="AH39" s="1"/>
      <c r="AI39" s="1"/>
      <c r="AJ39" s="1"/>
      <c r="AK39" s="1"/>
      <c r="AL39" s="1"/>
    </row>
    <row r="40" spans="1:38" ht="16.5" customHeight="1">
      <c r="A40" s="1"/>
      <c r="B40" s="1"/>
      <c r="C40" s="1"/>
      <c r="D40" s="190"/>
      <c r="E40" s="191">
        <f>'Даты занятий'!C22</f>
        <v>0.4</v>
      </c>
      <c r="F40" s="192"/>
      <c r="G40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45940</v>
      </c>
      <c r="H40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40" s="123"/>
      <c r="J40" s="191">
        <f>'Даты занятий'!C26</f>
        <v>0.4</v>
      </c>
      <c r="K40" s="192"/>
      <c r="L40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45940</v>
      </c>
      <c r="M40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40" s="195"/>
      <c r="O40" s="108">
        <f ca="1">IF(TODAY()&gt;=O4,COUNTBLANK(P5:P32)+COUNTIF(P5:P32,0),"---")</f>
        <v>26</v>
      </c>
      <c r="P40" s="108" t="e">
        <f ca="1">IF(TODAY()&gt;=P4,COUNTBLANK(#REF!)+COUNTIF(#REF!,0),"---")</f>
        <v>#REF!</v>
      </c>
      <c r="Q40" s="108" t="str">
        <f ca="1">IF(TODAY()&gt;=Q4,COUNTBLANK(Q5:Q32)+COUNTIF(Q5:Q32,0),"---")</f>
        <v>---</v>
      </c>
      <c r="R40" s="109" t="str">
        <f ca="1">IF(TODAY()&gt;=R4,COUNTBLANK(R5:R32)+COUNTIF(R5:R32,0),"---")</f>
        <v>---</v>
      </c>
      <c r="S40" s="205"/>
      <c r="T40" s="109">
        <f t="shared" ref="T40:AC40" ca="1" si="8">IF(TODAY()&gt;=T4,COUNTBLANK(T5:T32)+COUNTIF(T5:T32,0),"---")</f>
        <v>28</v>
      </c>
      <c r="U40" s="109">
        <f t="shared" ca="1" si="8"/>
        <v>28</v>
      </c>
      <c r="V40" s="109">
        <f t="shared" ca="1" si="8"/>
        <v>28</v>
      </c>
      <c r="W40" s="109">
        <f t="shared" ca="1" si="8"/>
        <v>28</v>
      </c>
      <c r="X40" s="109" t="str">
        <f t="shared" ca="1" si="8"/>
        <v>---</v>
      </c>
      <c r="Y40" s="109" t="str">
        <f t="shared" ca="1" si="8"/>
        <v>---</v>
      </c>
      <c r="Z40" s="109" t="str">
        <f t="shared" ca="1" si="8"/>
        <v>---</v>
      </c>
      <c r="AA40" s="109" t="str">
        <f t="shared" ca="1" si="8"/>
        <v>---</v>
      </c>
      <c r="AB40" s="109" t="str">
        <f t="shared" ca="1" si="8"/>
        <v>---</v>
      </c>
      <c r="AC40" s="109" t="str">
        <f t="shared" ca="1" si="8"/>
        <v>---</v>
      </c>
      <c r="AD40" s="174"/>
      <c r="AE40" s="199"/>
      <c r="AF40" s="201"/>
      <c r="AG40" s="1"/>
      <c r="AH40" s="1"/>
      <c r="AI40" s="1"/>
      <c r="AJ40" s="1"/>
      <c r="AK40" s="1"/>
      <c r="AL40" s="1"/>
    </row>
    <row r="41" spans="1:38" ht="15.75" customHeight="1">
      <c r="A41" s="1"/>
      <c r="B41" s="1"/>
      <c r="C41" s="1"/>
      <c r="D41" s="206" t="s">
        <v>419</v>
      </c>
      <c r="E41" s="207"/>
      <c r="F41" s="207"/>
      <c r="G41" s="207"/>
      <c r="H41" s="207"/>
      <c r="I41" s="206" t="s">
        <v>420</v>
      </c>
      <c r="J41" s="206"/>
      <c r="K41" s="206"/>
      <c r="L41" s="206"/>
      <c r="M41" s="206"/>
      <c r="N41" s="110"/>
      <c r="O41" s="43"/>
      <c r="P41" s="43"/>
      <c r="Q41" s="43"/>
      <c r="R41" s="43"/>
      <c r="S41" s="43"/>
      <c r="T41" s="4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1"/>
      <c r="G42" s="1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112"/>
      <c r="AF42" s="1"/>
      <c r="AG42" s="8"/>
      <c r="AH42" s="8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1"/>
      <c r="F43" s="113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"/>
      <c r="AI43" s="1"/>
      <c r="AJ43" s="1"/>
      <c r="AK43" s="1"/>
      <c r="AL43" s="1"/>
    </row>
    <row r="44" spans="1:38" ht="15.75" customHeight="1">
      <c r="A44" s="1"/>
      <c r="B44" s="1"/>
      <c r="C44" s="1"/>
      <c r="D44" s="1"/>
      <c r="E44" s="1"/>
      <c r="F44" s="114"/>
      <c r="G44" s="1"/>
      <c r="H44" s="20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8"/>
      <c r="F45" s="115"/>
      <c r="G45" s="1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16"/>
      <c r="AI45" s="1"/>
      <c r="AJ45" s="1"/>
      <c r="AK45" s="1"/>
      <c r="AL45" s="1"/>
    </row>
    <row r="46" spans="1:38" ht="15.75" customHeight="1">
      <c r="A46" s="1"/>
      <c r="B46" s="1"/>
      <c r="C46" s="1"/>
      <c r="D46" s="111"/>
      <c r="E46" s="1"/>
      <c r="F46" s="111"/>
      <c r="G46" s="1"/>
      <c r="H46" s="1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7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118"/>
      <c r="N48" s="118"/>
      <c r="O48" s="118"/>
      <c r="P48" s="118"/>
      <c r="Q48" s="118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.7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.7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" customHeight="1">
      <c r="A240" s="1"/>
      <c r="B240" s="1"/>
      <c r="C240" s="1"/>
      <c r="D240" s="1"/>
      <c r="E240" s="1"/>
      <c r="F240" s="111"/>
      <c r="G240" s="1"/>
      <c r="H240" s="1"/>
      <c r="I240" s="1"/>
      <c r="J240" s="1"/>
      <c r="K240" s="1"/>
      <c r="L240" s="1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1"/>
      <c r="AG240" s="1"/>
      <c r="AH240" s="1"/>
      <c r="AI240" s="1"/>
      <c r="AJ240" s="1"/>
      <c r="AK240" s="1"/>
      <c r="AL240" s="1"/>
    </row>
    <row r="241" spans="1:38" ht="15" customHeight="1">
      <c r="A241" s="1"/>
      <c r="B241" s="1"/>
      <c r="C241" s="1"/>
      <c r="D241" s="1"/>
      <c r="E241" s="1"/>
      <c r="F241" s="111"/>
      <c r="G241" s="1"/>
      <c r="H241" s="1"/>
      <c r="I241" s="1"/>
      <c r="J241" s="1"/>
      <c r="K241" s="1"/>
      <c r="L241" s="1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1"/>
      <c r="AG241" s="1"/>
      <c r="AH241" s="1"/>
      <c r="AI241" s="1"/>
      <c r="AJ241" s="1"/>
      <c r="AK241" s="1"/>
      <c r="AL241" s="1"/>
    </row>
    <row r="242" spans="1:38" ht="15.75" customHeight="1"/>
    <row r="243" spans="1:38" ht="15.75" customHeight="1"/>
    <row r="244" spans="1:38" ht="15.75" customHeight="1"/>
    <row r="245" spans="1:38" ht="15.75" customHeight="1"/>
    <row r="246" spans="1:38" ht="15.75" customHeight="1"/>
    <row r="247" spans="1:38" ht="15.75" customHeight="1"/>
    <row r="248" spans="1:38" ht="15.75" customHeight="1"/>
    <row r="249" spans="1:38" ht="15.75" customHeight="1"/>
    <row r="250" spans="1:38" ht="15.75" customHeight="1"/>
    <row r="251" spans="1:38" ht="15.75" customHeight="1"/>
    <row r="252" spans="1:38" ht="15.75" customHeight="1"/>
    <row r="253" spans="1:38" ht="15.75" customHeight="1"/>
    <row r="254" spans="1:38" ht="15.75" customHeight="1"/>
    <row r="255" spans="1:38" ht="15.75" customHeight="1"/>
    <row r="256" spans="1:3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8">
    <mergeCell ref="D41:H41"/>
    <mergeCell ref="I41:M41"/>
    <mergeCell ref="AD38:AD40"/>
    <mergeCell ref="AE38:AE40"/>
    <mergeCell ref="AF38:AF40"/>
    <mergeCell ref="E39:F39"/>
    <mergeCell ref="J37:K37"/>
    <mergeCell ref="O39:R39"/>
    <mergeCell ref="S39:S40"/>
    <mergeCell ref="T39:AC39"/>
    <mergeCell ref="E38:F38"/>
    <mergeCell ref="J38:K38"/>
    <mergeCell ref="J40:K40"/>
    <mergeCell ref="L36:M36"/>
    <mergeCell ref="O36:R36"/>
    <mergeCell ref="T36:AC36"/>
    <mergeCell ref="D35:E35"/>
    <mergeCell ref="F36:G36"/>
    <mergeCell ref="H36:I36"/>
    <mergeCell ref="J39:K39"/>
    <mergeCell ref="D38:D40"/>
    <mergeCell ref="E40:F40"/>
    <mergeCell ref="I38:I40"/>
    <mergeCell ref="J36:K36"/>
    <mergeCell ref="N38:N40"/>
    <mergeCell ref="O38:AC38"/>
    <mergeCell ref="A35:C37"/>
    <mergeCell ref="D37:E37"/>
    <mergeCell ref="D36:E36"/>
    <mergeCell ref="F37:G37"/>
    <mergeCell ref="H37:I37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workbookViewId="0">
      <selection activeCell="G28" sqref="G28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85546875" customWidth="1"/>
    <col min="21" max="21" width="5.7109375" customWidth="1"/>
    <col min="22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занятий'!A3,"-",'Даты занятий'!B3)</f>
        <v>253-БИВ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45910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45917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45924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45931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45910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45910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45912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45919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45924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45926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45931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45938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211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Александров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Арсений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212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Белых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Илья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>
        <v>2</v>
      </c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213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Беляков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Тимофей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214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Боттаева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Элина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>
        <v>2</v>
      </c>
      <c r="P8" s="65">
        <v>2</v>
      </c>
      <c r="Q8" s="66"/>
      <c r="R8" s="67"/>
      <c r="S8" s="68">
        <f t="shared" si="3"/>
        <v>6.7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0.67</v>
      </c>
      <c r="AF8" s="75">
        <f t="shared" si="6"/>
        <v>1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215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Васильев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Пётр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216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Вронская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Вероника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>
        <v>2</v>
      </c>
      <c r="P10" s="65">
        <v>2</v>
      </c>
      <c r="Q10" s="66"/>
      <c r="R10" s="67"/>
      <c r="S10" s="68">
        <f t="shared" si="3"/>
        <v>6.7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0.67</v>
      </c>
      <c r="AF10" s="75">
        <f t="shared" si="6"/>
        <v>1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217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Деречинский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Степан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>
        <v>2</v>
      </c>
      <c r="Q11" s="66"/>
      <c r="R11" s="67"/>
      <c r="S11" s="68">
        <f t="shared" si="3"/>
        <v>6.7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0.67</v>
      </c>
      <c r="AF11" s="75">
        <f t="shared" si="6"/>
        <v>1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218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Исланов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Амин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219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Ишкин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Артём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220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Караулов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Арсений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221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Картал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Боян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222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Коновалов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Михаил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>
        <v>2</v>
      </c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223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Косицын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Василий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224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Лазарев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Вадим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/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225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Лепёхин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Фёдор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226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Лопатин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Матвей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/>
      <c r="P20" s="65"/>
      <c r="Q20" s="66"/>
      <c r="R20" s="67"/>
      <c r="S20" s="68">
        <f t="shared" si="3"/>
        <v>0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</v>
      </c>
      <c r="AF20" s="75">
        <f t="shared" si="6"/>
        <v>0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227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Нуриманов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Арсен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>
        <v>2</v>
      </c>
      <c r="P21" s="65">
        <v>2</v>
      </c>
      <c r="Q21" s="66"/>
      <c r="R21" s="67"/>
      <c r="S21" s="68">
        <f t="shared" si="3"/>
        <v>6.7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0.67</v>
      </c>
      <c r="AF21" s="75">
        <f t="shared" si="6"/>
        <v>1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228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Потёмкин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Илья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229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Прохачев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Никита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230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Сазонова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Карина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/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231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Соколова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Эллис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232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Солодилов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Михаил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233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Тюрина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Злата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234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Фахрутдинов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Амир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235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Хотнянский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Кирилл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236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Ча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Кира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237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Черенов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Артём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238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Шишкарев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Иван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/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45931</v>
      </c>
      <c r="G33" s="80">
        <v>10</v>
      </c>
      <c r="H33" s="79">
        <f>$H$36</f>
        <v>45945</v>
      </c>
      <c r="I33" s="80">
        <v>10</v>
      </c>
      <c r="J33" s="79">
        <f>$H$36</f>
        <v>45945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45931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45945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45931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45945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45938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45938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45945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45945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24</v>
      </c>
      <c r="P38" s="108" t="e">
        <f ca="1">IF(TODAY()&gt;=P4,COUNTBLANK(#REF!)+COUNTIF(#REF!,0),"---")</f>
        <v>#REF!</v>
      </c>
      <c r="Q38" s="108" t="str">
        <f ca="1">IF(TODAY()&gt;=Q4,COUNTBLANK(Q5:Q32)+COUNTIF(Q5:Q32,0),"---")</f>
        <v>---</v>
      </c>
      <c r="R38" s="109" t="str">
        <f ca="1">IF(TODAY()&gt;=R4,COUNTBLANK(R5:R32)+COUNTIF(R5:R32,0),"---")</f>
        <v>---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>
        <f t="shared" ca="1" si="8"/>
        <v>28</v>
      </c>
      <c r="W38" s="109">
        <f t="shared" ca="1" si="8"/>
        <v>28</v>
      </c>
      <c r="X38" s="109" t="str">
        <f t="shared" ca="1" si="8"/>
        <v>---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topLeftCell="A4" workbookViewId="0">
      <selection activeCell="G27" sqref="G27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занятий'!A4,"-",'Даты занятий'!B4)</f>
        <v>254-БИВ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45911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45918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45925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45932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45910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45910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45912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45919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45924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45926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45931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45938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251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Абертасова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Екатерина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252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Андреев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Глеб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>
        <v>2</v>
      </c>
      <c r="P6" s="65">
        <v>2</v>
      </c>
      <c r="Q6" s="66"/>
      <c r="R6" s="67"/>
      <c r="S6" s="68">
        <f t="shared" si="3"/>
        <v>6.7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0.67</v>
      </c>
      <c r="AF6" s="75">
        <f t="shared" si="6"/>
        <v>1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253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Андреева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Мария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254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Астанин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Александр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/>
      <c r="P8" s="65"/>
      <c r="Q8" s="66"/>
      <c r="R8" s="67"/>
      <c r="S8" s="68">
        <f t="shared" si="3"/>
        <v>0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</v>
      </c>
      <c r="AF8" s="75">
        <f t="shared" si="6"/>
        <v>0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255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Астудийо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Даниэль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>
        <v>2</v>
      </c>
      <c r="P9" s="65">
        <v>2</v>
      </c>
      <c r="Q9" s="66"/>
      <c r="R9" s="67"/>
      <c r="S9" s="68">
        <f t="shared" si="3"/>
        <v>6.7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0.67</v>
      </c>
      <c r="AF9" s="75">
        <f t="shared" si="6"/>
        <v>1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256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Гладких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Максим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257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Грушихин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Сергей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258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Гурушкин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Андрей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259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Кацаров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Роберт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260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Клековкин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Владислав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261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Кочетков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Владислав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262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Криушин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Глеб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/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263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Ласточкин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Сергей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264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Левиков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Степан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>
        <v>2</v>
      </c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265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Ловчиков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Станислав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266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Мелкумян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Нарек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/>
      <c r="P20" s="65"/>
      <c r="Q20" s="66"/>
      <c r="R20" s="67"/>
      <c r="S20" s="68">
        <f t="shared" si="3"/>
        <v>0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</v>
      </c>
      <c r="AF20" s="75">
        <f t="shared" si="6"/>
        <v>0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267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Митюков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Тимофей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P21" s="65"/>
      <c r="Q21" s="66"/>
      <c r="R21" s="67"/>
      <c r="S21" s="68">
        <f t="shared" si="3"/>
        <v>0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</v>
      </c>
      <c r="AF21" s="75">
        <f t="shared" si="6"/>
        <v>0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268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Мухин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Дмитрий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269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Остапченко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Никита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270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Подлесных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Матвей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/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271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Ржевская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Екатерина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272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Рогова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Василиса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273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Смирнов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Михаил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274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Солодов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Артём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>
        <v>2</v>
      </c>
      <c r="P28" s="65">
        <v>2</v>
      </c>
      <c r="Q28" s="66"/>
      <c r="R28" s="67"/>
      <c r="S28" s="68">
        <f t="shared" si="3"/>
        <v>6.7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0.67</v>
      </c>
      <c r="AF28" s="75">
        <f t="shared" si="6"/>
        <v>1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275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Тощенкова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Валерия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276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Фоменко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Александр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277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Хасанов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Тимур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278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Чудакова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Елизавета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/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45931</v>
      </c>
      <c r="G33" s="80">
        <v>10</v>
      </c>
      <c r="H33" s="79">
        <f>$H$36</f>
        <v>45945</v>
      </c>
      <c r="I33" s="80">
        <v>10</v>
      </c>
      <c r="J33" s="79">
        <f>$H$36</f>
        <v>45945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45931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45945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45932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45946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45938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45939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45945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45946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25</v>
      </c>
      <c r="P38" s="108" t="e">
        <f ca="1">IF(TODAY()&gt;=P4,COUNTBLANK(#REF!)+COUNTIF(#REF!,0),"---")</f>
        <v>#REF!</v>
      </c>
      <c r="Q38" s="108" t="str">
        <f ca="1">IF(TODAY()&gt;=Q4,COUNTBLANK(Q5:Q32)+COUNTIF(Q5:Q32,0),"---")</f>
        <v>---</v>
      </c>
      <c r="R38" s="109" t="str">
        <f ca="1">IF(TODAY()&gt;=R4,COUNTBLANK(R5:R32)+COUNTIF(R5:R32,0),"---")</f>
        <v>---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>
        <f t="shared" ca="1" si="8"/>
        <v>28</v>
      </c>
      <c r="W38" s="109">
        <f t="shared" ca="1" si="8"/>
        <v>28</v>
      </c>
      <c r="X38" s="109" t="str">
        <f t="shared" ca="1" si="8"/>
        <v>---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topLeftCell="A4" workbookViewId="0">
      <selection activeCell="H23" sqref="H23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занятий'!A5,"-",'Даты занятий'!B5)</f>
        <v>255-БИВ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45911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45918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45925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45932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45911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45918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45925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45932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45933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45933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45938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45939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291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Абашилов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Магомед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292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Абрамова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Мария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/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293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Агамалян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Саркис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>
        <v>2</v>
      </c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294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Анчы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Владимир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/>
      <c r="P8" s="65"/>
      <c r="Q8" s="66"/>
      <c r="R8" s="67"/>
      <c r="S8" s="68">
        <f t="shared" si="3"/>
        <v>0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</v>
      </c>
      <c r="AF8" s="75">
        <f t="shared" si="6"/>
        <v>0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295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Аслаханов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Адлан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296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Бова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Ульяна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297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Борисов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Александр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298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Бочарский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Григорий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299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Васильев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Пётр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300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Вдовина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Марина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301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Власенков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Максим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302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Воронков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Илья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/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303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Гайдадина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Мария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304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Гордеева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Анастасия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>
        <v>2</v>
      </c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305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Гордеева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Ирина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306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Зарипов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Мурат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/>
      <c r="P20" s="65"/>
      <c r="Q20" s="66"/>
      <c r="R20" s="67"/>
      <c r="S20" s="68">
        <f t="shared" si="3"/>
        <v>0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</v>
      </c>
      <c r="AF20" s="75">
        <f t="shared" si="6"/>
        <v>0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307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Кольчугин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Александр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P21" s="65"/>
      <c r="Q21" s="66"/>
      <c r="R21" s="67"/>
      <c r="S21" s="68">
        <f t="shared" si="3"/>
        <v>0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</v>
      </c>
      <c r="AF21" s="75">
        <f t="shared" si="6"/>
        <v>0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308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Кравченко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Екатерина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309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Нагорная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Полина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310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Пархут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София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/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311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Садовский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Арсений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312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Сизенков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Егор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313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Стадник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Дарья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314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Старченко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Денис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315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Столяров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Антон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316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Туктаров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Александр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317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Черноморец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Олег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318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Шапкин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Семён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>
        <v>2</v>
      </c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45933</v>
      </c>
      <c r="G33" s="80">
        <v>10</v>
      </c>
      <c r="H33" s="79">
        <f>$H$36</f>
        <v>45945</v>
      </c>
      <c r="I33" s="80">
        <v>10</v>
      </c>
      <c r="J33" s="79">
        <f>$H$36</f>
        <v>45945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45933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45945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45932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45946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45940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45939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45945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45946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28</v>
      </c>
      <c r="P38" s="108" t="e">
        <f ca="1">IF(TODAY()&gt;=P4,COUNTBLANK(#REF!)+COUNTIF(#REF!,0),"---")</f>
        <v>#REF!</v>
      </c>
      <c r="Q38" s="108" t="str">
        <f ca="1">IF(TODAY()&gt;=Q4,COUNTBLANK(Q5:Q32)+COUNTIF(Q5:Q32,0),"---")</f>
        <v>---</v>
      </c>
      <c r="R38" s="109" t="str">
        <f ca="1">IF(TODAY()&gt;=R4,COUNTBLANK(R5:R32)+COUNTIF(R5:R32,0),"---")</f>
        <v>---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 t="str">
        <f t="shared" ca="1" si="8"/>
        <v>---</v>
      </c>
      <c r="W38" s="109" t="str">
        <f t="shared" ca="1" si="8"/>
        <v>---</v>
      </c>
      <c r="X38" s="109" t="str">
        <f t="shared" ca="1" si="8"/>
        <v>---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topLeftCell="A4" workbookViewId="0">
      <selection activeCell="I22" sqref="I22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занятий'!A6,"-",'Даты занятий'!B6)</f>
        <v>256-БИВ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45911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45918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45925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45932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45911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45918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45925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45932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45933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45933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45938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45939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331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Александров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Александр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332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Батура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Иван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/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333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Богославский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Родион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334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Бондаренко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Арсений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/>
      <c r="P8" s="65"/>
      <c r="Q8" s="66"/>
      <c r="R8" s="67"/>
      <c r="S8" s="68">
        <f t="shared" si="3"/>
        <v>0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</v>
      </c>
      <c r="AF8" s="75">
        <f t="shared" si="6"/>
        <v>0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335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Глинкин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Вячеслав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336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Горячева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Алиса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337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Жарова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Екатерина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338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Калинин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Кирилл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/>
      <c r="S12" s="68">
        <f t="shared" si="3"/>
        <v>0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</v>
      </c>
      <c r="AF12" s="75">
        <f t="shared" si="6"/>
        <v>0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339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Кошелев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Николай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/>
      <c r="P13" s="65"/>
      <c r="Q13" s="66"/>
      <c r="R13" s="67"/>
      <c r="S13" s="68">
        <f t="shared" si="3"/>
        <v>0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</v>
      </c>
      <c r="AF13" s="75">
        <f t="shared" si="6"/>
        <v>0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340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Кузнецова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Алёна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341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Магомедэминов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Никита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342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Моисеев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Дмитрий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/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343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Наташкин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Евгений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344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Остроушко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Михаил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/>
      <c r="P18" s="65"/>
      <c r="Q18" s="66"/>
      <c r="R18" s="67"/>
      <c r="S18" s="68">
        <f t="shared" si="3"/>
        <v>0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</v>
      </c>
      <c r="AF18" s="75">
        <f t="shared" si="6"/>
        <v>0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345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Панькина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Наталья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346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Пешков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Даниил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/>
      <c r="P20" s="65"/>
      <c r="Q20" s="66"/>
      <c r="R20" s="67"/>
      <c r="S20" s="68">
        <f t="shared" si="3"/>
        <v>0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</v>
      </c>
      <c r="AF20" s="75">
        <f t="shared" si="6"/>
        <v>0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347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Подойникова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Людмила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P21" s="65"/>
      <c r="Q21" s="66"/>
      <c r="R21" s="67"/>
      <c r="S21" s="68">
        <f t="shared" si="3"/>
        <v>0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</v>
      </c>
      <c r="AF21" s="75">
        <f t="shared" si="6"/>
        <v>0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348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Рагимов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Артур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349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Родионова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Варвара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>
        <v>2</v>
      </c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350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Семиненко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Анна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>
        <v>2</v>
      </c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351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Стародубцев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Лев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352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Сулаев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Артём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353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Тимошенко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Владислав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>
        <v>2</v>
      </c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354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Феськов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Тимофей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355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Христочевская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Ксения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356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Челпых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Виктория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357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Чернов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Савелий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/>
      <c r="P31" s="65"/>
      <c r="Q31" s="66"/>
      <c r="R31" s="67"/>
      <c r="S31" s="68">
        <f t="shared" si="3"/>
        <v>0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0</v>
      </c>
      <c r="AF31" s="75">
        <f t="shared" si="6"/>
        <v>0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358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Шепурев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Степан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>
        <v>2</v>
      </c>
      <c r="P32" s="65"/>
      <c r="Q32" s="66"/>
      <c r="R32" s="67"/>
      <c r="S32" s="68">
        <f t="shared" si="3"/>
        <v>0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</v>
      </c>
      <c r="AF32" s="75">
        <f t="shared" si="6"/>
        <v>0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45932</v>
      </c>
      <c r="G33" s="80">
        <v>10</v>
      </c>
      <c r="H33" s="79">
        <f>$H$36</f>
        <v>45946</v>
      </c>
      <c r="I33" s="80">
        <v>10</v>
      </c>
      <c r="J33" s="79">
        <f>$H$36</f>
        <v>45946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45932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45946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45929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45943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45939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45936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45946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45943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28</v>
      </c>
      <c r="P38" s="108" t="e">
        <f ca="1">IF(TODAY()&gt;=P4,COUNTBLANK(#REF!)+COUNTIF(#REF!,0),"---")</f>
        <v>#REF!</v>
      </c>
      <c r="Q38" s="108" t="str">
        <f ca="1">IF(TODAY()&gt;=Q4,COUNTBLANK(Q5:Q32)+COUNTIF(Q5:Q32,0),"---")</f>
        <v>---</v>
      </c>
      <c r="R38" s="109" t="str">
        <f ca="1">IF(TODAY()&gt;=R4,COUNTBLANK(R5:R32)+COUNTIF(R5:R32,0),"---")</f>
        <v>---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 t="str">
        <f t="shared" ca="1" si="8"/>
        <v>---</v>
      </c>
      <c r="W38" s="109" t="str">
        <f t="shared" ca="1" si="8"/>
        <v>---</v>
      </c>
      <c r="X38" s="109" t="str">
        <f t="shared" ca="1" si="8"/>
        <v>---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topLeftCell="A5" workbookViewId="0">
      <selection activeCell="G24" sqref="G24"/>
    </sheetView>
  </sheetViews>
  <sheetFormatPr defaultColWidth="9" defaultRowHeight="15" customHeight="1"/>
  <cols>
    <col min="1" max="1" width="3.28515625" bestFit="1" customWidth="1"/>
    <col min="2" max="2" width="5.28515625" bestFit="1" customWidth="1"/>
    <col min="3" max="3" width="4" bestFit="1" customWidth="1"/>
    <col min="4" max="4" width="16.7109375" customWidth="1"/>
    <col min="5" max="5" width="13.42578125" bestFit="1" customWidth="1"/>
    <col min="6" max="6" width="6.28515625" customWidth="1"/>
    <col min="7" max="7" width="7" customWidth="1"/>
    <col min="8" max="8" width="6.28515625" customWidth="1"/>
    <col min="9" max="9" width="6.140625" customWidth="1"/>
    <col min="10" max="10" width="7" customWidth="1"/>
    <col min="11" max="11" width="5" customWidth="1"/>
    <col min="12" max="12" width="10.7109375" customWidth="1"/>
    <col min="13" max="13" width="6.28515625" customWidth="1"/>
    <col min="14" max="14" width="6.7109375" customWidth="1"/>
    <col min="15" max="15" width="5" customWidth="1"/>
    <col min="16" max="16" width="5" style="42" customWidth="1"/>
    <col min="17" max="17" width="5" customWidth="1"/>
    <col min="18" max="18" width="6.28515625" customWidth="1"/>
    <col min="19" max="19" width="6.42578125" customWidth="1"/>
    <col min="20" max="20" width="5.5703125" customWidth="1"/>
    <col min="21" max="25" width="5" customWidth="1"/>
    <col min="26" max="28" width="6" bestFit="1" customWidth="1"/>
    <col min="29" max="29" width="6.28515625" customWidth="1"/>
    <col min="30" max="30" width="6.42578125" customWidth="1"/>
    <col min="31" max="31" width="12" customWidth="1"/>
    <col min="32" max="32" width="20.42578125" bestFit="1" customWidth="1"/>
    <col min="33" max="34" width="5.42578125" bestFit="1" customWidth="1"/>
    <col min="35" max="35" width="7.28515625" bestFit="1" customWidth="1"/>
    <col min="36" max="36" width="5.42578125" bestFit="1" customWidth="1"/>
    <col min="37" max="37" width="11.42578125" bestFit="1" customWidth="1"/>
    <col min="38" max="38" width="20.42578125" bestFit="1" customWidth="1"/>
    <col min="39" max="263" width="14" bestFit="1" customWidth="1"/>
  </cols>
  <sheetData>
    <row r="1" spans="1:38" ht="18.75" customHeight="1">
      <c r="A1" s="139" t="str">
        <f>CONCATENATE('Даты занятий'!T14," ",'Даты занятий'!R14," модуль ",'Даты занятий'!Z14, )</f>
        <v>Алгоритмизация и программирование 1 модуль 2025/2026</v>
      </c>
      <c r="B1" s="140"/>
      <c r="C1" s="140"/>
      <c r="D1" s="140"/>
      <c r="E1" s="140"/>
      <c r="F1" s="140"/>
      <c r="G1" s="140"/>
      <c r="H1" s="139" t="str">
        <f>CONCATENATE('Даты занятий'!A7,"-",'Даты занятий'!B7)</f>
        <v>257-БИВ</v>
      </c>
      <c r="I1" s="140"/>
      <c r="J1" s="1"/>
      <c r="K1" s="1"/>
      <c r="L1" s="1"/>
      <c r="M1" s="1"/>
      <c r="N1" s="1"/>
      <c r="O1" s="1"/>
      <c r="P1" s="1"/>
      <c r="Q1" s="1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1"/>
      <c r="AJ1" s="1"/>
      <c r="AK1" s="1"/>
      <c r="AL1" s="1"/>
    </row>
    <row r="2" spans="1:38" ht="15.75" customHeight="1">
      <c r="A2" s="141" t="s">
        <v>398</v>
      </c>
      <c r="B2" s="144" t="s">
        <v>399</v>
      </c>
      <c r="C2" s="144" t="s">
        <v>400</v>
      </c>
      <c r="D2" s="145" t="s">
        <v>401</v>
      </c>
      <c r="E2" s="146" t="s">
        <v>402</v>
      </c>
      <c r="F2" s="149" t="str">
        <f>CONCATENATE("лаб ",L4)</f>
        <v>лаб 1</v>
      </c>
      <c r="G2" s="150"/>
      <c r="H2" s="151" t="str">
        <f>CONCATENATE("лаб ",M4)</f>
        <v>лаб 2</v>
      </c>
      <c r="I2" s="152"/>
      <c r="J2" s="152"/>
      <c r="K2" s="153"/>
      <c r="L2" s="45" t="s">
        <v>403</v>
      </c>
      <c r="M2" s="46"/>
      <c r="N2" s="47"/>
      <c r="O2" s="154" t="s">
        <v>404</v>
      </c>
      <c r="P2" s="155"/>
      <c r="Q2" s="150"/>
      <c r="R2" s="150"/>
      <c r="S2" s="156"/>
      <c r="T2" s="154" t="s">
        <v>405</v>
      </c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7" t="s">
        <v>406</v>
      </c>
      <c r="AF2" s="160" t="s">
        <v>407</v>
      </c>
      <c r="AG2" s="1"/>
      <c r="AH2" s="1"/>
      <c r="AI2" s="1"/>
      <c r="AJ2" s="1"/>
      <c r="AK2" s="1"/>
      <c r="AL2" s="1"/>
    </row>
    <row r="3" spans="1:38" ht="15.75" customHeight="1">
      <c r="A3" s="142"/>
      <c r="B3" s="142"/>
      <c r="C3" s="142"/>
      <c r="D3" s="142"/>
      <c r="E3" s="147"/>
      <c r="F3" s="163" t="str">
        <f>CONCATENATE("часть ",IF(F2&lt;&gt;0,1,RIGHT(D3,1)+1))</f>
        <v>часть 1</v>
      </c>
      <c r="G3" s="164"/>
      <c r="H3" s="163" t="str">
        <f>CONCATENATE("часть ",IF(H2&lt;&gt;0,1,RIGHT(F3,1)+1))</f>
        <v>часть 1</v>
      </c>
      <c r="I3" s="165"/>
      <c r="J3" s="165"/>
      <c r="K3" s="166"/>
      <c r="L3" s="49"/>
      <c r="M3" s="44"/>
      <c r="N3" s="48"/>
      <c r="O3" s="167"/>
      <c r="P3" s="168"/>
      <c r="Q3" s="150"/>
      <c r="R3" s="150"/>
      <c r="S3" s="156"/>
      <c r="T3" s="167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8"/>
      <c r="AF3" s="161"/>
      <c r="AG3" s="1"/>
      <c r="AH3" s="1"/>
      <c r="AI3" s="1"/>
      <c r="AJ3" s="1"/>
      <c r="AK3" s="1"/>
      <c r="AL3" s="1"/>
    </row>
    <row r="4" spans="1:38" ht="20.25" customHeight="1">
      <c r="A4" s="143"/>
      <c r="B4" s="143"/>
      <c r="C4" s="143"/>
      <c r="D4" s="143"/>
      <c r="E4" s="148"/>
      <c r="F4" s="50" t="s">
        <v>408</v>
      </c>
      <c r="G4" s="51" t="s">
        <v>409</v>
      </c>
      <c r="H4" s="52" t="s">
        <v>408</v>
      </c>
      <c r="I4" s="51" t="s">
        <v>409</v>
      </c>
      <c r="J4" s="52" t="s">
        <v>408</v>
      </c>
      <c r="K4" s="51" t="s">
        <v>409</v>
      </c>
      <c r="L4" s="53">
        <v>1</v>
      </c>
      <c r="M4" s="54">
        <f>IF(L4=8,1,L4+1)</f>
        <v>2</v>
      </c>
      <c r="N4" s="54" t="s">
        <v>410</v>
      </c>
      <c r="O4" s="55">
        <f>IF(LEFT($H$1,3)="251",'Даты занятий'!C$1,IF(LEFT($H$1,3)="252",'Даты занятий'!C$2,IF(LEFT($H$1,3)="253",'Даты занятий'!C$3,IF(LEFT($H$1,3)="254",'Даты занятий'!C$4,IF(LEFT($H$1,3)="255",'Даты занятий'!C$5,IF(LEFT($H$1,3)="256",'Даты занятий'!C$6,IF(LEFT($H$1,3)="257",'Даты занятий'!C$7, IF(LEFT($H$1,3)="258",'Даты занятий'!C$8, IF(LEFT($H$1,3)="259",'Даты занятий'!C$9,"ERR")))))))))</f>
        <v>45912</v>
      </c>
      <c r="P4" s="55">
        <f>IF(LEFT($H$1,3)="251",'Даты занятий'!D$1,IF(LEFT($H$1,3)="252",'Даты занятий'!D$2,IF(LEFT($H$1,3)="253",'Даты занятий'!D$3,IF(LEFT($H$1,3)="254",'Даты занятий'!D$4,IF(LEFT($H$1,3)="255",'Даты занятий'!D$5,IF(LEFT($H$1,3)="256",'Даты занятий'!D$6,IF(LEFT($H$1,3)="257",'Даты занятий'!D$7, IF(LEFT($H$1,3)="258",'Даты занятий'!D$8, IF(LEFT($H$1,3)="259",'Даты занятий'!D$9,"ERR")))))))))</f>
        <v>45912</v>
      </c>
      <c r="Q4" s="55">
        <f>IF(LEFT($H$1,3)="251",'Даты занятий'!E$1,IF(LEFT($H$1,3)="252",'Даты занятий'!E$2,IF(LEFT($H$1,3)="253",'Даты занятий'!E$3,IF(LEFT($H$1,3)="254",'Даты занятий'!E$4,IF(LEFT($H$1,3)="255",'Даты занятий'!E$5,IF(LEFT($H$1,3)="256",'Даты занятий'!E$6,IF(LEFT($H$1,3)="257",'Даты занятий'!E$7, IF(LEFT($H$1,3)="258",'Даты занятий'!E$8, IF(LEFT($H$1,3)="259",'Даты занятий'!E$9,"ERR")))))))))</f>
        <v>45919</v>
      </c>
      <c r="R4" s="55">
        <f>IF(LEFT($H$1,3)="251",'Даты занятий'!F$1,IF(LEFT($H$1,3)="252",'Даты занятий'!F$2,IF(LEFT($H$1,3)="253",'Даты занятий'!F$3,IF(LEFT($H$1,3)="254",'Даты занятий'!F$4,IF(LEFT($H$1,3)="255",'Даты занятий'!F$5,IF(LEFT($H$1,3)="256",'Даты занятий'!F$6,IF(LEFT($H$1,3)="257",'Даты занятий'!F$7, IF(LEFT($H$1,3)="258",'Даты занятий'!F$8, IF(LEFT($H$1,3)="259",'Даты занятий'!F$9,"ERR")))))))))</f>
        <v>45919</v>
      </c>
      <c r="S4" s="56" t="s">
        <v>411</v>
      </c>
      <c r="T4" s="57">
        <f>IF(LEFT($H$1,3)="251",'Даты занятий'!L$1,IF(LEFT($H$1,3)="252",'Даты занятий'!L$2,IF(LEFT($H$1,3)="253",'Даты занятий'!L$3,IF(LEFT($H$1,3)="254",'Даты занятий'!L$4,IF(LEFT($H$1,3)="255",'Даты занятий'!L$5,IF(LEFT($H$1,3)="256",'Даты занятий'!L$6,IF(LEFT($H$1,3)="257",'Даты занятий'!L$7,IF(LEFT($H$1,3)="258",'Даты занятий'!L$8,IF(LEFT($H$1,3)="259",'Даты занятий'!L$9)))))))))</f>
        <v>45911</v>
      </c>
      <c r="U4" s="57">
        <f>IF(LEFT($H$1,3)="251",'Даты занятий'!M$1,IF(LEFT($H$1,3)="252",'Даты занятий'!M$2,IF(LEFT($H$1,3)="253",'Даты занятий'!M$3,IF(LEFT($H$1,3)="254",'Даты занятий'!M$4,IF(LEFT($H$1,3)="255",'Даты занятий'!M$5,IF(LEFT($H$1,3)="256",'Даты занятий'!M$6,IF(LEFT($H$1,3)="257",'Даты занятий'!M$7,IF(LEFT($H$1,3)="258",'Даты занятий'!M$8,IF(LEFT($H$1,3)="259",'Даты занятий'!M$9)))))))))</f>
        <v>45918</v>
      </c>
      <c r="V4" s="57">
        <f>IF(LEFT($H$1,3)="251",'Даты занятий'!N$1,IF(LEFT($H$1,3)="252",'Даты занятий'!N$2,IF(LEFT($H$1,3)="253",'Даты занятий'!N$3,IF(LEFT($H$1,3)="254",'Даты занятий'!N$4,IF(LEFT($H$1,3)="255",'Даты занятий'!N$5,IF(LEFT($H$1,3)="256",'Даты занятий'!N$6,IF(LEFT($H$1,3)="257",'Даты занятий'!N$7,IF(LEFT($H$1,3)="258",'Даты занятий'!N$8,IF(LEFT($H$1,3)="259",'Даты занятий'!N$9)))))))))</f>
        <v>45925</v>
      </c>
      <c r="W4" s="57">
        <f>IF(LEFT($H$1,3)="251",'Даты занятий'!O$1,IF(LEFT($H$1,3)="252",'Даты занятий'!O$2,IF(LEFT($H$1,3)="253",'Даты занятий'!O$3,IF(LEFT($H$1,3)="254",'Даты занятий'!O$4,IF(LEFT($H$1,3)="255",'Даты занятий'!O$5,IF(LEFT($H$1,3)="256",'Даты занятий'!O$6,IF(LEFT($H$1,3)="257",'Даты занятий'!O$7,IF(LEFT($H$1,3)="258",'Даты занятий'!O$8,IF(LEFT($H$1,3)="259",'Даты занятий'!O$9)))))))))</f>
        <v>45932</v>
      </c>
      <c r="X4" s="57">
        <f>IF(LEFT($H$1,3)="251",#REF!,IF(LEFT($H$1,3)="252",'Даты занятий'!P$2,IF(LEFT($H$1,3)="253",'Даты занятий'!P$3,IF(LEFT($H$1,3)="254",'Даты занятий'!P$4,IF(LEFT($H$1,3)="255",'Даты занятий'!P$5,IF(LEFT($H$1,3)="256",'Даты занятий'!P$6,IF(LEFT($H$1,3)="257",'Даты занятий'!P$7,IF(LEFT($H$1,3)="258",'Даты занятий'!P$8,IF(LEFT($H$1,3)="259",'Даты занятий'!P$9)))))))))</f>
        <v>45933</v>
      </c>
      <c r="Y4" s="57">
        <f>IF(LEFT($H$1,3)="251",'Даты занятий'!P$1,IF(LEFT($H$1,3)="252",'Даты занятий'!Q$2,IF(LEFT($H$1,3)="253",'Даты занятий'!Q$3,IF(LEFT($H$1,3)="254",'Даты занятий'!Q$4,IF(LEFT($H$1,3)="255",'Даты занятий'!Q$5,IF(LEFT($H$1,3)="256",'Даты занятий'!Q$6,IF(LEFT($H$1,3)="257",'Даты занятий'!Q$7,IF(LEFT($H$1,3)="258",'Даты занятий'!Q$8,IF(LEFT($H$1,3)="259",'Даты занятий'!Q$9)))))))))</f>
        <v>45933</v>
      </c>
      <c r="Z4" s="57">
        <f>IF(LEFT($H$1,3)="251",'Даты занятий'!Q$1,IF(LEFT($H$1,3)="252",'Даты занятий'!R$2,IF(LEFT($H$1,3)="253",'Даты занятий'!R$3,IF(LEFT($H$1,3)="254",'Даты занятий'!R$4,IF(LEFT($H$1,3)="255",'Даты занятий'!R$5,IF(LEFT($H$1,3)="256",'Даты занятий'!R$6,IF(LEFT($H$1,3)="257",'Даты занятий'!R$7,IF(LEFT($H$1,3)="258",'Даты занятий'!R$8,IF(LEFT($H$1,3)="259",'Даты занятий'!R$9)))))))))</f>
        <v>45938</v>
      </c>
      <c r="AA4" s="57">
        <f>IF(LEFT($H$1,3)="251",'Даты занятий'!R$1,IF(LEFT($H$1,3)="252",'Даты занятий'!S$2,IF(LEFT($H$1,3)="253",'Даты занятий'!S$3,IF(LEFT($H$1,3)="254",'Даты занятий'!S$4,IF(LEFT($H$1,3)="255",'Даты занятий'!S$5,IF(LEFT($H$1,3)="256",'Даты занятий'!S$6,IF(LEFT($H$1,3)="257",'Даты занятий'!S$7,IF(LEFT($H$1,3)="258",'Даты занятий'!S$8,IF(LEFT($H$1,3)="259",'Даты занятий'!S$9)))))))))</f>
        <v>45939</v>
      </c>
      <c r="AB4" s="57">
        <f>IF(LEFT($H$1,3)="251",'Даты занятий'!S$1,IF(LEFT($H$1,3)="252",'Даты занятий'!T$2,IF(LEFT($H$1,3)="253",'Даты занятий'!T$3,IF(LEFT($H$1,3)="254",'Даты занятий'!T$4,IF(LEFT($H$1,3)="255",'Даты занятий'!T$5,IF(LEFT($H$1,3)="256",'Даты занятий'!T$6,IF(LEFT($H$1,3)="257",'Даты занятий'!T$7,IF(LEFT($H$1,3)="258",'Даты занятий'!T$8,IF(LEFT($H$1,3)="259",'Даты занятий'!T$9)))))))))</f>
        <v>45940</v>
      </c>
      <c r="AC4" s="57">
        <f>IF(LEFT($H$1,3)="251",'Даты занятий'!U$1,IF(LEFT($H$1,3)="252",'Даты занятий'!U$2,IF(LEFT($H$1,3)="253",'Даты занятий'!U$3,IF(LEFT($H$1,3)="254",'Даты занятий'!U$4,IF(LEFT($H$1,3)="255",'Даты занятий'!U$5,IF(LEFT($H$1,3)="256",'Даты занятий'!U$6,IF(LEFT($H$1,3)="257",'Даты занятий'!U$7,IF(LEFT($H$1,3)="258",'Даты занятий'!U$8,IF(LEFT($H$1,3)="259",'Даты занятий'!U$9)))))))))</f>
        <v>45945</v>
      </c>
      <c r="AD4" s="58" t="s">
        <v>411</v>
      </c>
      <c r="AE4" s="159"/>
      <c r="AF4" s="162"/>
      <c r="AG4" s="1"/>
      <c r="AH4" s="1"/>
      <c r="AI4" s="1"/>
      <c r="AJ4" s="1"/>
      <c r="AK4" s="1"/>
      <c r="AL4" s="1"/>
    </row>
    <row r="5" spans="1:38" ht="16.5" customHeight="1">
      <c r="A5" s="59">
        <f>IF(LEFT($H$1,3)="251",'списки групп'!A5,IF(LEFT($H$1,3)="252",'списки групп'!H5,IF(LEFT($H$1,3)="253",'списки групп'!O5,IF(LEFT($H$1,3)="254",'списки групп'!V5,IF(LEFT($H$1,3)="255",'списки групп'!AC5,IF(LEFT($H$1,3)="256",'списки групп'!AJ5,IF(LEFT($H$1,3)="257",'списки групп'!AR5, IF(LEFT($H$1,3)="258",'списки групп'!AY5, IF(LEFT($H$1,3)="259",'списки групп'!BF5,)))))))))</f>
        <v>1</v>
      </c>
      <c r="B5" s="59">
        <f>IF(LEFT($H$1,3)="251",'списки групп'!B5,IF(LEFT($H$1,3)="252",'списки групп'!I5,IF(LEFT($H$1,3)="253",'списки групп'!P5,IF(LEFT($H$1,3)="254",'списки групп'!W5,IF(LEFT($H$1,3)="255",'списки групп'!AD5,IF(LEFT($H$1,3)="256",'списки групп'!AK5,IF(LEFT($H$1,3)="257",'списки групп'!AS5, IF(LEFT($H$1,3)="258",'списки групп'!AZ5, IF(LEFT($H$1,3)="259",'списки групп'!BG5,)))))))))</f>
        <v>371</v>
      </c>
      <c r="C5" s="59">
        <f>IF(LEFT($H$1,3)="251",'списки групп'!C5,IF(LEFT($H$1,3)="252",'списки групп'!J5,IF(LEFT($H$1,3)="253",'списки групп'!Q5,IF(LEFT($H$1,3)="254",'списки групп'!X5,IF(LEFT($H$1,3)="255",'списки групп'!AE5,IF(LEFT($H$1,3)="256",'списки групп'!AL5,IF(LEFT($H$1,3)="257",'списки групп'!AT5, IF(LEFT($H$1,3)="258",'списки групп'!BA5, IF(LEFT($H$1,3)="259",'списки групп'!BH5,)))))))))</f>
        <v>1</v>
      </c>
      <c r="D5" s="59" t="str">
        <f>IF(LEFT($H$1,3)="251",'списки групп'!D5,IF(LEFT($H$1,3)="252",'списки групп'!K5,IF(LEFT($H$1,3)="253",'списки групп'!R5,IF(LEFT($H$1,3)="254",'списки групп'!Y5,IF(LEFT($H$1,3)="255",'списки групп'!AF5,IF(LEFT($H$1,3)="256",'списки групп'!AM5,IF(LEFT($H$1,3)="257",'списки групп'!AU5, IF(LEFT($H$1,3)="258",'списки групп'!BB5, IF(LEFT($H$1,3)="259",'списки групп'!BI5,)))))))))</f>
        <v>Абданбаева</v>
      </c>
      <c r="E5" s="59" t="str">
        <f>IF(LEFT($H$1,3)="251",'списки групп'!E5,IF(LEFT($H$1,3)="252",'списки групп'!L5,IF(LEFT($H$1,3)="253",'списки групп'!S5,IF(LEFT($H$1,3)="254",'списки групп'!Z5,IF(LEFT($H$1,3)="255",'списки групп'!AG5,IF(LEFT($H$1,3)="256",'списки групп'!AN5,IF(LEFT($H$1,3)="257",'списки групп'!AV5, IF(LEFT($H$1,3)="258",'списки групп'!BC5, IF(LEFT($H$1,3)="259",'списки групп'!BJ5,)))))))))</f>
        <v>Айдана</v>
      </c>
      <c r="F5" s="60"/>
      <c r="G5" s="61"/>
      <c r="H5" s="60"/>
      <c r="I5" s="61"/>
      <c r="J5" s="60"/>
      <c r="K5" s="61"/>
      <c r="L5" s="62">
        <f t="shared" ref="L5:L32" si="0">IF(C5=1,IF(AND(F5&lt;&gt;"----",F5),((10-G$33)+IF(G5&lt;=G$33,G5,G$33))*IF(F5=0,0,IF(F5&lt;=G$36,$E$36,IF(F5&lt;=G$37,$E$37,IF(F5&lt;=G$38,$E$38,0))))*F$34*0.1,0),IF(AND(F5&lt;&gt;"----",F5),((10-G$33)+IF(G5&lt;=G$33,G5,G$33))*IF(F5=0,0,IF(F5&lt;=L$36,$J$36,IF(F5&lt;=L$37,$J$37,IF(F5&lt;=L$38,$J$38,0))))*F$34*0.1,0))</f>
        <v>0</v>
      </c>
      <c r="M5" s="62">
        <f t="shared" ref="M5:M32" si="1">IF(C5=1,IF(AND(H5&lt;&gt;"----",H5),((10-I$33)+IF(I5&lt;=$I$33,I5,I$33))*IF(H5=0,0,IF(H5&lt;=$H$36,$E$36,IF(H5&lt;=$H$37,$E$36,IF(H5&lt;=$H$38,$E$38,0))))*H$34*0.1,0)+IF(AND(J5&lt;&gt;"----",J5),((10-K$33)+IF(K5&lt;=$I$33,K5,K$33))*IF(J5=0,0,IF(J5&lt;=$H$36,$E$36,IF(J5&lt;=$H$37,$E$36,IF(J5&lt;=$H$38,$E$37,0))))*J$34*0.1,0),  IF(AND(H5&lt;&gt;"----",H5),((10-I$33)+IF(I5&lt;=$I$33,I5,I$33))*IF(H5=0,0,IF(H5&lt;=$M$36,$J$36,IF(H5&lt;=$M$37,$J$37,IF(H5&lt;=$M$38,$J$38,0))))*H$34*0.1,0)+IF(AND(J5&lt;&gt;"----",J5),((10-K$33)+IF(K5&lt;=$K$33,K5,K$33))*IF(J5=0,0,IF(J5&lt;=$M$36,$J$36,IF(J5&lt;=$M$37,$J$37,IF(J5&lt;=$M$38,$J$38,0))))*J$34*0.1,0))</f>
        <v>0</v>
      </c>
      <c r="N5" s="63">
        <f t="shared" ref="N5:N33" si="2">CEILING(SUM(L5:M5)*10/SUM($L$33:$M$33),0.1)</f>
        <v>0</v>
      </c>
      <c r="O5" s="64"/>
      <c r="P5" s="65"/>
      <c r="Q5" s="66"/>
      <c r="R5" s="67"/>
      <c r="S5" s="68">
        <f t="shared" ref="S5:S32" si="3">CEILING(SUM(P5:R5)*10/SUM($O$33:$R$33),0.1)</f>
        <v>0</v>
      </c>
      <c r="T5" s="69"/>
      <c r="U5" s="70"/>
      <c r="V5" s="70"/>
      <c r="W5" s="70"/>
      <c r="X5" s="71"/>
      <c r="Y5" s="72"/>
      <c r="Z5" s="71"/>
      <c r="AA5" s="71"/>
      <c r="AB5" s="71"/>
      <c r="AC5" s="71"/>
      <c r="AD5" s="73">
        <f t="shared" ref="AD5:AD33" si="4">CEILING(SUM(T5:AC5)*10/SUM($T$33:$AC$33),0.1)</f>
        <v>0</v>
      </c>
      <c r="AE5" s="74">
        <f t="shared" ref="AE5:AE32" si="5">N5*$N$34+S5*$S$34+AD5*$AD$34</f>
        <v>0</v>
      </c>
      <c r="AF5" s="75">
        <f t="shared" ref="AF5:AF33" si="6">ROUND(AE5,0)</f>
        <v>0</v>
      </c>
      <c r="AG5" s="1"/>
      <c r="AH5" s="1"/>
      <c r="AI5" s="1"/>
      <c r="AJ5" s="1"/>
      <c r="AK5" s="1"/>
      <c r="AL5" s="1"/>
    </row>
    <row r="6" spans="1:38" ht="16.5" customHeight="1">
      <c r="A6" s="59">
        <f>IF(LEFT($H$1,3)="251",'списки групп'!A6,IF(LEFT($H$1,3)="252",'списки групп'!H6,IF(LEFT($H$1,3)="253",'списки групп'!O6,IF(LEFT($H$1,3)="254",'списки групп'!V6,IF(LEFT($H$1,3)="255",'списки групп'!AC6,IF(LEFT($H$1,3)="256",'списки групп'!AJ6,IF(LEFT($H$1,3)="257",'списки групп'!AR6,IF(LEFT($H$1,3)="258",'списки групп'!AY6,IF(LEFT($H$1,3)="259",'списки групп'!BF6,)))))))))</f>
        <v>2</v>
      </c>
      <c r="B6" s="59">
        <f>IF(LEFT($H$1,3)="251",'списки групп'!B6,IF(LEFT($H$1,3)="252",'списки групп'!I6,IF(LEFT($H$1,3)="253",'списки групп'!P6,IF(LEFT($H$1,3)="254",'списки групп'!W6,IF(LEFT($H$1,3)="255",'списки групп'!AD6,IF(LEFT($H$1,3)="256",'списки групп'!AK6,IF(LEFT($H$1,3)="257",'списки групп'!AS6,IF(LEFT($H$1,3)="258",'списки групп'!AZ6,IF(LEFT($H$1,3)="259",'списки групп'!BG6,)))))))))</f>
        <v>372</v>
      </c>
      <c r="C6" s="59">
        <f>IF(LEFT($H$1,3)="251",'списки групп'!C6,IF(LEFT($H$1,3)="252",'списки групп'!J6,IF(LEFT($H$1,3)="253",'списки групп'!Q6,IF(LEFT($H$1,3)="254",'списки групп'!X6,IF(LEFT($H$1,3)="255",'списки групп'!AE6,IF(LEFT($H$1,3)="256",'списки групп'!AL6,IF(LEFT($H$1,3)="257",'списки групп'!AT6,IF(LEFT($H$1,3)="258",'списки групп'!BA6,IF(LEFT($H$1,3)="259",'списки групп'!BH6,)))))))))</f>
        <v>1</v>
      </c>
      <c r="D6" s="59" t="str">
        <f>IF(LEFT($H$1,3)="251",'списки групп'!D6,IF(LEFT($H$1,3)="252",'списки групп'!K6,IF(LEFT($H$1,3)="253",'списки групп'!R6,IF(LEFT($H$1,3)="254",'списки групп'!Y6,IF(LEFT($H$1,3)="255",'списки групп'!AF6,IF(LEFT($H$1,3)="256",'списки групп'!AM6,IF(LEFT($H$1,3)="257",'списки групп'!AU6,IF(LEFT($H$1,3)="258",'списки групп'!BB6,IF(LEFT($H$1,3)="259",'списки групп'!BI6,)))))))))</f>
        <v>Абрамов</v>
      </c>
      <c r="E6" s="59" t="str">
        <f>IF(LEFT($H$1,3)="251",'списки групп'!E6,IF(LEFT($H$1,3)="252",'списки групп'!L6,IF(LEFT($H$1,3)="253",'списки групп'!S6,IF(LEFT($H$1,3)="254",'списки групп'!Z6,IF(LEFT($H$1,3)="255",'списки групп'!AG6,IF(LEFT($H$1,3)="256",'списки групп'!AN6,IF(LEFT($H$1,3)="257",'списки групп'!AV6,IF(LEFT($H$1,3)="258",'списки групп'!BC6,IF(LEFT($H$1,3)="259",'списки групп'!BJ6,)))))))))</f>
        <v>Андрей</v>
      </c>
      <c r="F6" s="60"/>
      <c r="G6" s="61"/>
      <c r="H6" s="60"/>
      <c r="I6" s="61"/>
      <c r="J6" s="60"/>
      <c r="K6" s="61"/>
      <c r="L6" s="62">
        <f t="shared" si="0"/>
        <v>0</v>
      </c>
      <c r="M6" s="62">
        <f t="shared" si="1"/>
        <v>0</v>
      </c>
      <c r="N6" s="63">
        <f t="shared" si="2"/>
        <v>0</v>
      </c>
      <c r="O6" s="64"/>
      <c r="P6" s="65"/>
      <c r="Q6" s="66"/>
      <c r="R6" s="67"/>
      <c r="S6" s="68">
        <f t="shared" si="3"/>
        <v>0</v>
      </c>
      <c r="T6" s="69"/>
      <c r="U6" s="70"/>
      <c r="V6" s="70"/>
      <c r="W6" s="70"/>
      <c r="X6" s="71"/>
      <c r="Y6" s="72"/>
      <c r="Z6" s="71"/>
      <c r="AA6" s="71"/>
      <c r="AB6" s="71"/>
      <c r="AC6" s="71"/>
      <c r="AD6" s="73">
        <f t="shared" si="4"/>
        <v>0</v>
      </c>
      <c r="AE6" s="74">
        <f t="shared" si="5"/>
        <v>0</v>
      </c>
      <c r="AF6" s="75">
        <f t="shared" si="6"/>
        <v>0</v>
      </c>
      <c r="AG6" s="1"/>
      <c r="AH6" s="1"/>
      <c r="AI6" s="1"/>
      <c r="AJ6" s="1"/>
      <c r="AK6" s="1"/>
      <c r="AL6" s="1"/>
    </row>
    <row r="7" spans="1:38" ht="16.5" customHeight="1">
      <c r="A7" s="59">
        <f>IF(LEFT($H$1,3)="251",'списки групп'!A7,IF(LEFT($H$1,3)="252",'списки групп'!H7,IF(LEFT($H$1,3)="253",'списки групп'!O7,IF(LEFT($H$1,3)="254",'списки групп'!V7,IF(LEFT($H$1,3)="255",'списки групп'!AC7,IF(LEFT($H$1,3)="256",'списки групп'!AJ7,IF(LEFT($H$1,3)="257",'списки групп'!AR7,IF(LEFT($H$1,3)="258",'списки групп'!AY7,IF(LEFT($H$1,3)="259",'списки групп'!BF7,)))))))))</f>
        <v>3</v>
      </c>
      <c r="B7" s="59">
        <f>IF(LEFT($H$1,3)="251",'списки групп'!B7,IF(LEFT($H$1,3)="252",'списки групп'!I7,IF(LEFT($H$1,3)="253",'списки групп'!P7,IF(LEFT($H$1,3)="254",'списки групп'!W7,IF(LEFT($H$1,3)="255",'списки групп'!AD7,IF(LEFT($H$1,3)="256",'списки групп'!AK7,IF(LEFT($H$1,3)="257",'списки групп'!AS7,IF(LEFT($H$1,3)="258",'списки групп'!AZ7,IF(LEFT($H$1,3)="259",'списки групп'!BG7,)))))))))</f>
        <v>373</v>
      </c>
      <c r="C7" s="59">
        <f>IF(LEFT($H$1,3)="251",'списки групп'!C7,IF(LEFT($H$1,3)="252",'списки групп'!J7,IF(LEFT($H$1,3)="253",'списки групп'!Q7,IF(LEFT($H$1,3)="254",'списки групп'!X7,IF(LEFT($H$1,3)="255",'списки групп'!AE7,IF(LEFT($H$1,3)="256",'списки групп'!AL7,IF(LEFT($H$1,3)="257",'списки групп'!AT7,IF(LEFT($H$1,3)="258",'списки групп'!BA7,IF(LEFT($H$1,3)="259",'списки групп'!BH7,)))))))))</f>
        <v>1</v>
      </c>
      <c r="D7" s="59" t="str">
        <f>IF(LEFT($H$1,3)="251",'списки групп'!D7,IF(LEFT($H$1,3)="252",'списки групп'!K7,IF(LEFT($H$1,3)="253",'списки групп'!R7,IF(LEFT($H$1,3)="254",'списки групп'!Y7,IF(LEFT($H$1,3)="255",'списки групп'!AF7,IF(LEFT($H$1,3)="256",'списки групп'!AM7,IF(LEFT($H$1,3)="257",'списки групп'!AU7,IF(LEFT($H$1,3)="258",'списки групп'!BB7,IF(LEFT($H$1,3)="259",'списки групп'!BI7,)))))))))</f>
        <v>Антропова</v>
      </c>
      <c r="E7" s="59" t="str">
        <f>IF(LEFT($H$1,3)="251",'списки групп'!E7,IF(LEFT($H$1,3)="252",'списки групп'!L7,IF(LEFT($H$1,3)="253",'списки групп'!S7,IF(LEFT($H$1,3)="254",'списки групп'!Z7,IF(LEFT($H$1,3)="255",'списки групп'!AG7,IF(LEFT($H$1,3)="256",'списки групп'!AN7,IF(LEFT($H$1,3)="257",'списки групп'!AV7,IF(LEFT($H$1,3)="258",'списки групп'!BC7,IF(LEFT($H$1,3)="259",'списки групп'!BJ7,)))))))))</f>
        <v>Софья</v>
      </c>
      <c r="F7" s="60"/>
      <c r="G7" s="61"/>
      <c r="H7" s="60"/>
      <c r="I7" s="61"/>
      <c r="J7" s="60"/>
      <c r="K7" s="61"/>
      <c r="L7" s="62">
        <f t="shared" si="0"/>
        <v>0</v>
      </c>
      <c r="M7" s="62">
        <f t="shared" si="1"/>
        <v>0</v>
      </c>
      <c r="N7" s="63">
        <f t="shared" si="2"/>
        <v>0</v>
      </c>
      <c r="O7" s="64"/>
      <c r="P7" s="65"/>
      <c r="Q7" s="66"/>
      <c r="R7" s="67"/>
      <c r="S7" s="68">
        <f t="shared" si="3"/>
        <v>0</v>
      </c>
      <c r="T7" s="69"/>
      <c r="U7" s="70"/>
      <c r="V7" s="70"/>
      <c r="W7" s="70"/>
      <c r="X7" s="71"/>
      <c r="Y7" s="72"/>
      <c r="Z7" s="71"/>
      <c r="AA7" s="71"/>
      <c r="AB7" s="71"/>
      <c r="AC7" s="71"/>
      <c r="AD7" s="73">
        <f t="shared" si="4"/>
        <v>0</v>
      </c>
      <c r="AE7" s="74">
        <f t="shared" si="5"/>
        <v>0</v>
      </c>
      <c r="AF7" s="75">
        <f t="shared" si="6"/>
        <v>0</v>
      </c>
      <c r="AG7" s="1"/>
      <c r="AH7" s="1"/>
      <c r="AI7" s="1"/>
      <c r="AJ7" s="1"/>
      <c r="AK7" s="1"/>
      <c r="AL7" s="1"/>
    </row>
    <row r="8" spans="1:38" ht="16.5" customHeight="1">
      <c r="A8" s="59">
        <f>IF(LEFT($H$1,3)="251",'списки групп'!A8,IF(LEFT($H$1,3)="252",'списки групп'!H8,IF(LEFT($H$1,3)="253",'списки групп'!O8,IF(LEFT($H$1,3)="254",'списки групп'!V8,IF(LEFT($H$1,3)="255",'списки групп'!AC8,IF(LEFT($H$1,3)="256",'списки групп'!AJ8,IF(LEFT($H$1,3)="257",'списки групп'!AR8,IF(LEFT($H$1,3)="258",'списки групп'!AY8,IF(LEFT($H$1,3)="259",'списки групп'!BF8,)))))))))</f>
        <v>4</v>
      </c>
      <c r="B8" s="59">
        <f>IF(LEFT($H$1,3)="251",'списки групп'!B8,IF(LEFT($H$1,3)="252",'списки групп'!I8,IF(LEFT($H$1,3)="253",'списки групп'!P8,IF(LEFT($H$1,3)="254",'списки групп'!W8,IF(LEFT($H$1,3)="255",'списки групп'!AD8,IF(LEFT($H$1,3)="256",'списки групп'!AK8,IF(LEFT($H$1,3)="257",'списки групп'!AS8,IF(LEFT($H$1,3)="258",'списки групп'!AZ8,IF(LEFT($H$1,3)="259",'списки групп'!BG8,)))))))))</f>
        <v>374</v>
      </c>
      <c r="C8" s="59">
        <f>IF(LEFT($H$1,3)="251",'списки групп'!C8,IF(LEFT($H$1,3)="252",'списки групп'!J8,IF(LEFT($H$1,3)="253",'списки групп'!Q8,IF(LEFT($H$1,3)="254",'списки групп'!X8,IF(LEFT($H$1,3)="255",'списки групп'!AE8,IF(LEFT($H$1,3)="256",'списки групп'!AL8,IF(LEFT($H$1,3)="257",'списки групп'!AT8,IF(LEFT($H$1,3)="258",'списки групп'!BA8,IF(LEFT($H$1,3)="259",'списки групп'!BH8,)))))))))</f>
        <v>1</v>
      </c>
      <c r="D8" s="59" t="str">
        <f>IF(LEFT($H$1,3)="251",'списки групп'!D8,IF(LEFT($H$1,3)="252",'списки групп'!K8,IF(LEFT($H$1,3)="253",'списки групп'!R8,IF(LEFT($H$1,3)="254",'списки групп'!Y8,IF(LEFT($H$1,3)="255",'списки групп'!AF8,IF(LEFT($H$1,3)="256",'списки групп'!AM8,IF(LEFT($H$1,3)="257",'списки групп'!AU8,IF(LEFT($H$1,3)="258",'списки групп'!BB8,IF(LEFT($H$1,3)="259",'списки групп'!BI8,)))))))))</f>
        <v>Белякова</v>
      </c>
      <c r="E8" s="59" t="str">
        <f>IF(LEFT($H$1,3)="251",'списки групп'!E8,IF(LEFT($H$1,3)="252",'списки групп'!L8,IF(LEFT($H$1,3)="253",'списки групп'!S8,IF(LEFT($H$1,3)="254",'списки групп'!Z8,IF(LEFT($H$1,3)="255",'списки групп'!AG8,IF(LEFT($H$1,3)="256",'списки групп'!AN8,IF(LEFT($H$1,3)="257",'списки групп'!AV8,IF(LEFT($H$1,3)="258",'списки групп'!BC8,IF(LEFT($H$1,3)="259",'списки групп'!BJ8,)))))))))</f>
        <v>Анастасия</v>
      </c>
      <c r="F8" s="60"/>
      <c r="G8" s="61"/>
      <c r="H8" s="60"/>
      <c r="I8" s="61"/>
      <c r="J8" s="60"/>
      <c r="K8" s="61"/>
      <c r="L8" s="62">
        <f t="shared" si="0"/>
        <v>0</v>
      </c>
      <c r="M8" s="62">
        <f t="shared" si="1"/>
        <v>0</v>
      </c>
      <c r="N8" s="63">
        <f t="shared" si="2"/>
        <v>0</v>
      </c>
      <c r="O8" s="64"/>
      <c r="P8" s="65"/>
      <c r="Q8" s="66"/>
      <c r="R8" s="67"/>
      <c r="S8" s="68">
        <f t="shared" si="3"/>
        <v>0</v>
      </c>
      <c r="T8" s="69"/>
      <c r="U8" s="70"/>
      <c r="V8" s="70"/>
      <c r="W8" s="70"/>
      <c r="X8" s="71"/>
      <c r="Y8" s="72"/>
      <c r="Z8" s="71"/>
      <c r="AA8" s="71"/>
      <c r="AB8" s="71"/>
      <c r="AC8" s="71"/>
      <c r="AD8" s="73">
        <f t="shared" si="4"/>
        <v>0</v>
      </c>
      <c r="AE8" s="74">
        <f t="shared" si="5"/>
        <v>0</v>
      </c>
      <c r="AF8" s="75">
        <f t="shared" si="6"/>
        <v>0</v>
      </c>
      <c r="AG8" s="1"/>
      <c r="AH8" s="1"/>
      <c r="AI8" s="1"/>
      <c r="AJ8" s="1"/>
      <c r="AK8" s="1"/>
      <c r="AL8" s="1"/>
    </row>
    <row r="9" spans="1:38" ht="16.5" customHeight="1">
      <c r="A9" s="59">
        <f>IF(LEFT($H$1,3)="251",'списки групп'!A9,IF(LEFT($H$1,3)="252",'списки групп'!H9,IF(LEFT($H$1,3)="253",'списки групп'!O9,IF(LEFT($H$1,3)="254",'списки групп'!V9,IF(LEFT($H$1,3)="255",'списки групп'!AC9,IF(LEFT($H$1,3)="256",'списки групп'!AJ9,IF(LEFT($H$1,3)="257",'списки групп'!AR9,IF(LEFT($H$1,3)="258",'списки групп'!AY9,IF(LEFT($H$1,3)="259",'списки групп'!BF9,)))))))))</f>
        <v>5</v>
      </c>
      <c r="B9" s="59">
        <f>IF(LEFT($H$1,3)="251",'списки групп'!B9,IF(LEFT($H$1,3)="252",'списки групп'!I9,IF(LEFT($H$1,3)="253",'списки групп'!P9,IF(LEFT($H$1,3)="254",'списки групп'!W9,IF(LEFT($H$1,3)="255",'списки групп'!AD9,IF(LEFT($H$1,3)="256",'списки групп'!AK9,IF(LEFT($H$1,3)="257",'списки групп'!AS9,IF(LEFT($H$1,3)="258",'списки групп'!AZ9,IF(LEFT($H$1,3)="259",'списки групп'!BG9,)))))))))</f>
        <v>375</v>
      </c>
      <c r="C9" s="59">
        <f>IF(LEFT($H$1,3)="251",'списки групп'!C9,IF(LEFT($H$1,3)="252",'списки групп'!J9,IF(LEFT($H$1,3)="253",'списки групп'!Q9,IF(LEFT($H$1,3)="254",'списки групп'!X9,IF(LEFT($H$1,3)="255",'списки групп'!AE9,IF(LEFT($H$1,3)="256",'списки групп'!AL9,IF(LEFT($H$1,3)="257",'списки групп'!AT9,IF(LEFT($H$1,3)="258",'списки групп'!BA9,IF(LEFT($H$1,3)="259",'списки групп'!BH9,)))))))))</f>
        <v>1</v>
      </c>
      <c r="D9" s="59" t="str">
        <f>IF(LEFT($H$1,3)="251",'списки групп'!D9,IF(LEFT($H$1,3)="252",'списки групп'!K9,IF(LEFT($H$1,3)="253",'списки групп'!R9,IF(LEFT($H$1,3)="254",'списки групп'!Y9,IF(LEFT($H$1,3)="255",'списки групп'!AF9,IF(LEFT($H$1,3)="256",'списки групп'!AM9,IF(LEFT($H$1,3)="257",'списки групп'!AU9,IF(LEFT($H$1,3)="258",'списки групп'!BB9,IF(LEFT($H$1,3)="259",'списки групп'!BI9,)))))))))</f>
        <v>Будаев</v>
      </c>
      <c r="E9" s="59" t="str">
        <f>IF(LEFT($H$1,3)="251",'списки групп'!E9,IF(LEFT($H$1,3)="252",'списки групп'!L9,IF(LEFT($H$1,3)="253",'списки групп'!S9,IF(LEFT($H$1,3)="254",'списки групп'!Z9,IF(LEFT($H$1,3)="255",'списки групп'!AG9,IF(LEFT($H$1,3)="256",'списки групп'!AN9,IF(LEFT($H$1,3)="257",'списки групп'!AV9,IF(LEFT($H$1,3)="258",'списки групп'!BC9,IF(LEFT($H$1,3)="259",'списки групп'!BJ9,)))))))))</f>
        <v>Тимур</v>
      </c>
      <c r="F9" s="60"/>
      <c r="G9" s="61"/>
      <c r="H9" s="60"/>
      <c r="I9" s="61"/>
      <c r="J9" s="60"/>
      <c r="K9" s="61"/>
      <c r="L9" s="62">
        <f t="shared" si="0"/>
        <v>0</v>
      </c>
      <c r="M9" s="62">
        <f t="shared" si="1"/>
        <v>0</v>
      </c>
      <c r="N9" s="63">
        <f t="shared" si="2"/>
        <v>0</v>
      </c>
      <c r="O9" s="64"/>
      <c r="P9" s="65"/>
      <c r="Q9" s="66"/>
      <c r="R9" s="67"/>
      <c r="S9" s="68">
        <f t="shared" si="3"/>
        <v>0</v>
      </c>
      <c r="T9" s="69"/>
      <c r="U9" s="70"/>
      <c r="V9" s="70"/>
      <c r="W9" s="70"/>
      <c r="X9" s="71"/>
      <c r="Y9" s="72"/>
      <c r="Z9" s="71"/>
      <c r="AA9" s="71"/>
      <c r="AB9" s="71"/>
      <c r="AC9" s="71"/>
      <c r="AD9" s="73">
        <f t="shared" si="4"/>
        <v>0</v>
      </c>
      <c r="AE9" s="74">
        <f t="shared" si="5"/>
        <v>0</v>
      </c>
      <c r="AF9" s="75">
        <f t="shared" si="6"/>
        <v>0</v>
      </c>
      <c r="AG9" s="1"/>
      <c r="AH9" s="1"/>
      <c r="AI9" s="1"/>
      <c r="AJ9" s="1"/>
      <c r="AK9" s="1"/>
      <c r="AL9" s="1"/>
    </row>
    <row r="10" spans="1:38" ht="16.5" customHeight="1">
      <c r="A10" s="59">
        <f>IF(LEFT($H$1,3)="251",'списки групп'!A10,IF(LEFT($H$1,3)="252",'списки групп'!H10,IF(LEFT($H$1,3)="253",'списки групп'!O10,IF(LEFT($H$1,3)="254",'списки групп'!V10,IF(LEFT($H$1,3)="255",'списки групп'!AC10,IF(LEFT($H$1,3)="256",'списки групп'!AJ10,IF(LEFT($H$1,3)="257",'списки групп'!AR10, IF(LEFT($H$1,3)="258",'списки групп'!AY10, IF(LEFT($H$1,3)="259",'списки групп'!BF10,)))))))))</f>
        <v>6</v>
      </c>
      <c r="B10" s="59">
        <f>IF(LEFT($H$1,3)="251",'списки групп'!B10,IF(LEFT($H$1,3)="252",'списки групп'!I10,IF(LEFT($H$1,3)="253",'списки групп'!P10,IF(LEFT($H$1,3)="254",'списки групп'!W10,IF(LEFT($H$1,3)="255",'списки групп'!AD10,IF(LEFT($H$1,3)="256",'списки групп'!AK10,IF(LEFT($H$1,3)="257",'списки групп'!AS10, IF(LEFT($H$1,3)="258",'списки групп'!AZ10, IF(LEFT($H$1,3)="259",'списки групп'!BG10,)))))))))</f>
        <v>376</v>
      </c>
      <c r="C10" s="59">
        <f>IF(LEFT($H$1,3)="251",'списки групп'!C10,IF(LEFT($H$1,3)="252",'списки групп'!J10,IF(LEFT($H$1,3)="253",'списки групп'!Q10,IF(LEFT($H$1,3)="254",'списки групп'!X10,IF(LEFT($H$1,3)="255",'списки групп'!AE10,IF(LEFT($H$1,3)="256",'списки групп'!AL10,IF(LEFT($H$1,3)="257",'списки групп'!AT10, IF(LEFT($H$1,3)="258",'списки групп'!BA10, IF(LEFT($H$1,3)="259",'списки групп'!BH10,)))))))))</f>
        <v>1</v>
      </c>
      <c r="D10" s="59" t="str">
        <f>IF(LEFT($H$1,3)="251",'списки групп'!D10,IF(LEFT($H$1,3)="252",'списки групп'!K10,IF(LEFT($H$1,3)="253",'списки групп'!R10,IF(LEFT($H$1,3)="254",'списки групп'!Y10,IF(LEFT($H$1,3)="255",'списки групп'!AF10,IF(LEFT($H$1,3)="256",'списки групп'!AM10,IF(LEFT($H$1,3)="257",'списки групп'!AU10, IF(LEFT($H$1,3)="258",'списки групп'!BB10, IF(LEFT($H$1,3)="259",'списки групп'!BI10,)))))))))</f>
        <v>Воробьев</v>
      </c>
      <c r="E10" s="59" t="str">
        <f>IF(LEFT($H$1,3)="251",'списки групп'!E10,IF(LEFT($H$1,3)="252",'списки групп'!L10,IF(LEFT($H$1,3)="253",'списки групп'!S10,IF(LEFT($H$1,3)="254",'списки групп'!Z10,IF(LEFT($H$1,3)="255",'списки групп'!AG10,IF(LEFT($H$1,3)="256",'списки групп'!AN10,IF(LEFT($H$1,3)="257",'списки групп'!AV10, IF(LEFT($H$1,3)="258",'списки групп'!BC10, IF(LEFT($H$1,3)="259",'списки групп'!BJ10,)))))))))</f>
        <v>Владимир</v>
      </c>
      <c r="F10" s="60"/>
      <c r="G10" s="61"/>
      <c r="H10" s="60"/>
      <c r="I10" s="61"/>
      <c r="J10" s="60"/>
      <c r="K10" s="61"/>
      <c r="L10" s="62">
        <f t="shared" si="0"/>
        <v>0</v>
      </c>
      <c r="M10" s="62">
        <f t="shared" si="1"/>
        <v>0</v>
      </c>
      <c r="N10" s="63">
        <f t="shared" si="2"/>
        <v>0</v>
      </c>
      <c r="O10" s="64"/>
      <c r="P10" s="65"/>
      <c r="Q10" s="66"/>
      <c r="R10" s="67"/>
      <c r="S10" s="68">
        <f t="shared" si="3"/>
        <v>0</v>
      </c>
      <c r="T10" s="69"/>
      <c r="U10" s="70"/>
      <c r="V10" s="70"/>
      <c r="W10" s="70"/>
      <c r="X10" s="71"/>
      <c r="Y10" s="72"/>
      <c r="Z10" s="71"/>
      <c r="AA10" s="71"/>
      <c r="AB10" s="71"/>
      <c r="AC10" s="71"/>
      <c r="AD10" s="73">
        <f t="shared" si="4"/>
        <v>0</v>
      </c>
      <c r="AE10" s="74">
        <f t="shared" si="5"/>
        <v>0</v>
      </c>
      <c r="AF10" s="75">
        <f t="shared" si="6"/>
        <v>0</v>
      </c>
      <c r="AG10" s="1"/>
      <c r="AH10" s="1"/>
      <c r="AI10" s="1"/>
      <c r="AJ10" s="1"/>
      <c r="AK10" s="1"/>
      <c r="AL10" s="1"/>
    </row>
    <row r="11" spans="1:38" ht="16.5" customHeight="1">
      <c r="A11" s="59">
        <f>IF(LEFT($H$1,3)="251",'списки групп'!A11,IF(LEFT($H$1,3)="252",'списки групп'!H11,IF(LEFT($H$1,3)="253",'списки групп'!O11,IF(LEFT($H$1,3)="254",'списки групп'!V11,IF(LEFT($H$1,3)="255",'списки групп'!AC11,IF(LEFT($H$1,3)="256",'списки групп'!AJ11,IF(LEFT($H$1,3)="257",'списки групп'!AR11,IF(LEFT($H$1,3)="258",'списки групп'!AY11,IF(LEFT($H$1,3)="259",'списки групп'!BF11,)))))))))</f>
        <v>7</v>
      </c>
      <c r="B11" s="59">
        <f>IF(LEFT($H$1,3)="251",'списки групп'!B11,IF(LEFT($H$1,3)="252",'списки групп'!I11,IF(LEFT($H$1,3)="253",'списки групп'!P11,IF(LEFT($H$1,3)="254",'списки групп'!W11,IF(LEFT($H$1,3)="255",'списки групп'!AD11,IF(LEFT($H$1,3)="256",'списки групп'!AK11,IF(LEFT($H$1,3)="257",'списки групп'!AS11,IF(LEFT($H$1,3)="258",'списки групп'!AZ11,IF(LEFT($H$1,3)="259",'списки групп'!BG11,)))))))))</f>
        <v>377</v>
      </c>
      <c r="C11" s="59">
        <f>IF(LEFT($H$1,3)="251",'списки групп'!C11,IF(LEFT($H$1,3)="252",'списки групп'!J11,IF(LEFT($H$1,3)="253",'списки групп'!Q11,IF(LEFT($H$1,3)="254",'списки групп'!X11,IF(LEFT($H$1,3)="255",'списки групп'!AE11,IF(LEFT($H$1,3)="256",'списки групп'!AL11,IF(LEFT($H$1,3)="257",'списки групп'!AT11,IF(LEFT($H$1,3)="258",'списки групп'!BA11,IF(LEFT($H$1,3)="259",'списки групп'!BH11,)))))))))</f>
        <v>1</v>
      </c>
      <c r="D11" s="59" t="str">
        <f>IF(LEFT($H$1,3)="251",'списки групп'!D11,IF(LEFT($H$1,3)="252",'списки групп'!K11,IF(LEFT($H$1,3)="253",'списки групп'!R11,IF(LEFT($H$1,3)="254",'списки групп'!Y11,IF(LEFT($H$1,3)="255",'списки групп'!AF11,IF(LEFT($H$1,3)="256",'списки групп'!AM11,IF(LEFT($H$1,3)="257",'списки групп'!AU11,IF(LEFT($H$1,3)="258",'списки групп'!BB11,IF(LEFT($H$1,3)="259",'списки групп'!BI11,)))))))))</f>
        <v>Гобеев</v>
      </c>
      <c r="E11" s="59" t="str">
        <f>IF(LEFT($H$1,3)="251",'списки групп'!E11,IF(LEFT($H$1,3)="252",'списки групп'!L11,IF(LEFT($H$1,3)="253",'списки групп'!S11,IF(LEFT($H$1,3)="254",'списки групп'!Z11,IF(LEFT($H$1,3)="255",'списки групп'!AG11,IF(LEFT($H$1,3)="256",'списки групп'!AN11,IF(LEFT($H$1,3)="257",'списки групп'!AV11,IF(LEFT($H$1,3)="258",'списки групп'!BC11,IF(LEFT($H$1,3)="259",'списки групп'!BJ11,)))))))))</f>
        <v>Алихан</v>
      </c>
      <c r="F11" s="60"/>
      <c r="G11" s="61"/>
      <c r="H11" s="60"/>
      <c r="I11" s="61"/>
      <c r="J11" s="60"/>
      <c r="K11" s="61"/>
      <c r="L11" s="62">
        <f t="shared" si="0"/>
        <v>0</v>
      </c>
      <c r="M11" s="62">
        <f t="shared" si="1"/>
        <v>0</v>
      </c>
      <c r="N11" s="63">
        <f t="shared" si="2"/>
        <v>0</v>
      </c>
      <c r="O11" s="64"/>
      <c r="P11" s="65"/>
      <c r="Q11" s="66"/>
      <c r="R11" s="67"/>
      <c r="S11" s="68">
        <f t="shared" si="3"/>
        <v>0</v>
      </c>
      <c r="T11" s="69"/>
      <c r="U11" s="70"/>
      <c r="V11" s="70"/>
      <c r="W11" s="70"/>
      <c r="X11" s="71"/>
      <c r="Y11" s="72"/>
      <c r="Z11" s="71"/>
      <c r="AA11" s="71"/>
      <c r="AB11" s="71"/>
      <c r="AC11" s="71"/>
      <c r="AD11" s="73">
        <f t="shared" si="4"/>
        <v>0</v>
      </c>
      <c r="AE11" s="74">
        <f t="shared" si="5"/>
        <v>0</v>
      </c>
      <c r="AF11" s="75">
        <f t="shared" si="6"/>
        <v>0</v>
      </c>
      <c r="AG11" s="1"/>
      <c r="AH11" s="1"/>
      <c r="AI11" s="1"/>
      <c r="AJ11" s="1"/>
      <c r="AK11" s="1"/>
      <c r="AL11" s="1"/>
    </row>
    <row r="12" spans="1:38" ht="16.5" customHeight="1">
      <c r="A12" s="59">
        <f>IF(LEFT($H$1,3)="251",'списки групп'!A12,IF(LEFT($H$1,3)="252",'списки групп'!H12,IF(LEFT($H$1,3)="253",'списки групп'!O12,IF(LEFT($H$1,3)="254",'списки групп'!V12,IF(LEFT($H$1,3)="255",'списки групп'!AC12,IF(LEFT($H$1,3)="256",'списки групп'!AJ12,IF(LEFT($H$1,3)="257",'списки групп'!AR12,IF(LEFT($H$1,3)="258",'списки групп'!AY12,IF(LEFT($H$1,3)="259",'списки групп'!BF12,)))))))))</f>
        <v>8</v>
      </c>
      <c r="B12" s="59">
        <f>IF(LEFT($H$1,3)="251",'списки групп'!B12,IF(LEFT($H$1,3)="252",'списки групп'!I12,IF(LEFT($H$1,3)="253",'списки групп'!P12,IF(LEFT($H$1,3)="254",'списки групп'!W12,IF(LEFT($H$1,3)="255",'списки групп'!AD12,IF(LEFT($H$1,3)="256",'списки групп'!AK12,IF(LEFT($H$1,3)="257",'списки групп'!AS12,IF(LEFT($H$1,3)="258",'списки групп'!AZ12,IF(LEFT($H$1,3)="259",'списки групп'!BG12,)))))))))</f>
        <v>378</v>
      </c>
      <c r="C12" s="59">
        <f>IF(LEFT($H$1,3)="251",'списки групп'!C12,IF(LEFT($H$1,3)="252",'списки групп'!J12,IF(LEFT($H$1,3)="253",'списки групп'!Q12,IF(LEFT($H$1,3)="254",'списки групп'!X12,IF(LEFT($H$1,3)="255",'списки групп'!AE12,IF(LEFT($H$1,3)="256",'списки групп'!AL12,IF(LEFT($H$1,3)="257",'списки групп'!AT12,IF(LEFT($H$1,3)="258",'списки групп'!BA12,IF(LEFT($H$1,3)="259",'списки групп'!BH12,)))))))))</f>
        <v>1</v>
      </c>
      <c r="D12" s="59" t="str">
        <f>IF(LEFT($H$1,3)="251",'списки групп'!D12,IF(LEFT($H$1,3)="252",'списки групп'!K12,IF(LEFT($H$1,3)="253",'списки групп'!R12,IF(LEFT($H$1,3)="254",'списки групп'!Y12,IF(LEFT($H$1,3)="255",'списки групп'!AF12,IF(LEFT($H$1,3)="256",'списки групп'!AM12,IF(LEFT($H$1,3)="257",'списки групп'!AU12,IF(LEFT($H$1,3)="258",'списки групп'!BB12,IF(LEFT($H$1,3)="259",'списки групп'!BI12,)))))))))</f>
        <v>Давыдов</v>
      </c>
      <c r="E12" s="59" t="str">
        <f>IF(LEFT($H$1,3)="251",'списки групп'!E12,IF(LEFT($H$1,3)="252",'списки групп'!L12,IF(LEFT($H$1,3)="253",'списки групп'!S12,IF(LEFT($H$1,3)="254",'списки групп'!Z12,IF(LEFT($H$1,3)="255",'списки групп'!AG12,IF(LEFT($H$1,3)="256",'списки групп'!AN12,IF(LEFT($H$1,3)="257",'списки групп'!AV12,IF(LEFT($H$1,3)="258",'списки групп'!BC12,IF(LEFT($H$1,3)="259",'списки групп'!BJ12,)))))))))</f>
        <v>Дмитрий</v>
      </c>
      <c r="F12" s="60"/>
      <c r="G12" s="61"/>
      <c r="H12" s="60"/>
      <c r="I12" s="61"/>
      <c r="J12" s="60"/>
      <c r="K12" s="61"/>
      <c r="L12" s="62">
        <f t="shared" si="0"/>
        <v>0</v>
      </c>
      <c r="M12" s="62">
        <f t="shared" si="1"/>
        <v>0</v>
      </c>
      <c r="N12" s="63">
        <f t="shared" si="2"/>
        <v>0</v>
      </c>
      <c r="O12" s="64"/>
      <c r="P12" s="65"/>
      <c r="Q12" s="66"/>
      <c r="R12" s="67">
        <v>2</v>
      </c>
      <c r="S12" s="68">
        <f t="shared" si="3"/>
        <v>6.7</v>
      </c>
      <c r="T12" s="69"/>
      <c r="U12" s="70"/>
      <c r="V12" s="70"/>
      <c r="W12" s="70"/>
      <c r="X12" s="71"/>
      <c r="Y12" s="72"/>
      <c r="Z12" s="71"/>
      <c r="AA12" s="71"/>
      <c r="AB12" s="71"/>
      <c r="AC12" s="71"/>
      <c r="AD12" s="73">
        <f t="shared" si="4"/>
        <v>0</v>
      </c>
      <c r="AE12" s="74">
        <f t="shared" si="5"/>
        <v>0.67</v>
      </c>
      <c r="AF12" s="75">
        <f t="shared" si="6"/>
        <v>1</v>
      </c>
      <c r="AG12" s="1"/>
      <c r="AH12" s="1"/>
      <c r="AI12" s="1"/>
      <c r="AJ12" s="1"/>
      <c r="AK12" s="1"/>
      <c r="AL12" s="1"/>
    </row>
    <row r="13" spans="1:38" ht="16.5" customHeight="1">
      <c r="A13" s="59">
        <f>IF(LEFT($H$1,3)="251",'списки групп'!A13,IF(LEFT($H$1,3)="252",'списки групп'!H13,IF(LEFT($H$1,3)="253",'списки групп'!O13,IF(LEFT($H$1,3)="254",'списки групп'!V13,IF(LEFT($H$1,3)="255",'списки групп'!AC13,IF(LEFT($H$1,3)="256",'списки групп'!AJ13,IF(LEFT($H$1,3)="257",'списки групп'!AR13,IF(LEFT($H$1,3)="258",'списки групп'!AY13,IF(LEFT($H$1,3)="259",'списки групп'!BF13,)))))))))</f>
        <v>9</v>
      </c>
      <c r="B13" s="59">
        <f>IF(LEFT($H$1,3)="251",'списки групп'!B13,IF(LEFT($H$1,3)="252",'списки групп'!I13,IF(LEFT($H$1,3)="253",'списки групп'!P13,IF(LEFT($H$1,3)="254",'списки групп'!W13,IF(LEFT($H$1,3)="255",'списки групп'!AD13,IF(LEFT($H$1,3)="256",'списки групп'!AK13,IF(LEFT($H$1,3)="257",'списки групп'!AS13,IF(LEFT($H$1,3)="258",'списки групп'!AZ13,IF(LEFT($H$1,3)="259",'списки групп'!BG13,)))))))))</f>
        <v>379</v>
      </c>
      <c r="C13" s="59">
        <f>IF(LEFT($H$1,3)="251",'списки групп'!C13,IF(LEFT($H$1,3)="252",'списки групп'!J13,IF(LEFT($H$1,3)="253",'списки групп'!Q13,IF(LEFT($H$1,3)="254",'списки групп'!X13,IF(LEFT($H$1,3)="255",'списки групп'!AE13,IF(LEFT($H$1,3)="256",'списки групп'!AL13,IF(LEFT($H$1,3)="257",'списки групп'!AT13,IF(LEFT($H$1,3)="258",'списки групп'!BA13,IF(LEFT($H$1,3)="259",'списки групп'!BH13,)))))))))</f>
        <v>1</v>
      </c>
      <c r="D13" s="59" t="str">
        <f>IF(LEFT($H$1,3)="251",'списки групп'!D13,IF(LEFT($H$1,3)="252",'списки групп'!K13,IF(LEFT($H$1,3)="253",'списки групп'!R13,IF(LEFT($H$1,3)="254",'списки групп'!Y13,IF(LEFT($H$1,3)="255",'списки групп'!AF13,IF(LEFT($H$1,3)="256",'списки групп'!AM13,IF(LEFT($H$1,3)="257",'списки групп'!AU13,IF(LEFT($H$1,3)="258",'списки групп'!BB13,IF(LEFT($H$1,3)="259",'списки групп'!BI13,)))))))))</f>
        <v>Деденёв</v>
      </c>
      <c r="E13" s="59" t="str">
        <f>IF(LEFT($H$1,3)="251",'списки групп'!E13,IF(LEFT($H$1,3)="252",'списки групп'!L13,IF(LEFT($H$1,3)="253",'списки групп'!S13,IF(LEFT($H$1,3)="254",'списки групп'!Z13,IF(LEFT($H$1,3)="255",'списки групп'!AG13,IF(LEFT($H$1,3)="256",'списки групп'!AN13,IF(LEFT($H$1,3)="257",'списки групп'!AV13,IF(LEFT($H$1,3)="258",'списки групп'!BC13,IF(LEFT($H$1,3)="259",'списки групп'!BJ13,)))))))))</f>
        <v>Кирилл</v>
      </c>
      <c r="F13" s="60"/>
      <c r="G13" s="61"/>
      <c r="H13" s="60"/>
      <c r="I13" s="61"/>
      <c r="J13" s="60"/>
      <c r="K13" s="61"/>
      <c r="L13" s="62">
        <f t="shared" si="0"/>
        <v>0</v>
      </c>
      <c r="M13" s="62">
        <f t="shared" si="1"/>
        <v>0</v>
      </c>
      <c r="N13" s="63">
        <f t="shared" si="2"/>
        <v>0</v>
      </c>
      <c r="O13" s="64">
        <v>2</v>
      </c>
      <c r="P13" s="65"/>
      <c r="Q13" s="66"/>
      <c r="R13" s="67">
        <v>2</v>
      </c>
      <c r="S13" s="68">
        <f t="shared" si="3"/>
        <v>6.7</v>
      </c>
      <c r="T13" s="69"/>
      <c r="U13" s="70"/>
      <c r="V13" s="70"/>
      <c r="W13" s="70"/>
      <c r="X13" s="71"/>
      <c r="Y13" s="72"/>
      <c r="Z13" s="71"/>
      <c r="AA13" s="71"/>
      <c r="AB13" s="71"/>
      <c r="AC13" s="71"/>
      <c r="AD13" s="73">
        <f t="shared" si="4"/>
        <v>0</v>
      </c>
      <c r="AE13" s="74">
        <f t="shared" si="5"/>
        <v>0.67</v>
      </c>
      <c r="AF13" s="75">
        <f t="shared" si="6"/>
        <v>1</v>
      </c>
      <c r="AG13" s="1"/>
      <c r="AH13" s="1"/>
      <c r="AI13" s="1"/>
      <c r="AJ13" s="1"/>
      <c r="AK13" s="1"/>
      <c r="AL13" s="1"/>
    </row>
    <row r="14" spans="1:38" ht="16.5" customHeight="1">
      <c r="A14" s="59">
        <f>IF(LEFT($H$1,3)="251",'списки групп'!A14,IF(LEFT($H$1,3)="252",'списки групп'!H14,IF(LEFT($H$1,3)="253",'списки групп'!O14,IF(LEFT($H$1,3)="254",'списки групп'!V14,IF(LEFT($H$1,3)="255",'списки групп'!AC14,IF(LEFT($H$1,3)="256",'списки групп'!AJ14,IF(LEFT($H$1,3)="257",'списки групп'!AR14,IF(LEFT($H$1,3)="258",'списки групп'!AY14,IF(LEFT($H$1,3)="259",'списки групп'!BF14,)))))))))</f>
        <v>10</v>
      </c>
      <c r="B14" s="59">
        <f>IF(LEFT($H$1,3)="251",'списки групп'!B14,IF(LEFT($H$1,3)="252",'списки групп'!I14,IF(LEFT($H$1,3)="253",'списки групп'!P14,IF(LEFT($H$1,3)="254",'списки групп'!W14,IF(LEFT($H$1,3)="255",'списки групп'!AD14,IF(LEFT($H$1,3)="256",'списки групп'!AK14,IF(LEFT($H$1,3)="257",'списки групп'!AS14,IF(LEFT($H$1,3)="258",'списки групп'!AZ14,IF(LEFT($H$1,3)="259",'списки групп'!BG14,)))))))))</f>
        <v>380</v>
      </c>
      <c r="C14" s="59">
        <f>IF(LEFT($H$1,3)="251",'списки групп'!C14,IF(LEFT($H$1,3)="252",'списки групп'!J14,IF(LEFT($H$1,3)="253",'списки групп'!Q14,IF(LEFT($H$1,3)="254",'списки групп'!X14,IF(LEFT($H$1,3)="255",'списки групп'!AE14,IF(LEFT($H$1,3)="256",'списки групп'!AL14,IF(LEFT($H$1,3)="257",'списки групп'!AT14,IF(LEFT($H$1,3)="258",'списки групп'!BA14,IF(LEFT($H$1,3)="259",'списки групп'!BH14,)))))))))</f>
        <v>1</v>
      </c>
      <c r="D14" s="59" t="str">
        <f>IF(LEFT($H$1,3)="251",'списки групп'!D14,IF(LEFT($H$1,3)="252",'списки групп'!K14,IF(LEFT($H$1,3)="253",'списки групп'!R14,IF(LEFT($H$1,3)="254",'списки групп'!Y14,IF(LEFT($H$1,3)="255",'списки групп'!AF14,IF(LEFT($H$1,3)="256",'списки групп'!AM14,IF(LEFT($H$1,3)="257",'списки групп'!AU14,IF(LEFT($H$1,3)="258",'списки групп'!BB14,IF(LEFT($H$1,3)="259",'списки групп'!BI14,)))))))))</f>
        <v>Жуков</v>
      </c>
      <c r="E14" s="59" t="str">
        <f>IF(LEFT($H$1,3)="251",'списки групп'!E14,IF(LEFT($H$1,3)="252",'списки групп'!L14,IF(LEFT($H$1,3)="253",'списки групп'!S14,IF(LEFT($H$1,3)="254",'списки групп'!Z14,IF(LEFT($H$1,3)="255",'списки групп'!AG14,IF(LEFT($H$1,3)="256",'списки групп'!AN14,IF(LEFT($H$1,3)="257",'списки групп'!AV14,IF(LEFT($H$1,3)="258",'списки групп'!BC14,IF(LEFT($H$1,3)="259",'списки групп'!BJ14,)))))))))</f>
        <v>Игорь</v>
      </c>
      <c r="F14" s="60"/>
      <c r="G14" s="61"/>
      <c r="H14" s="60"/>
      <c r="I14" s="61"/>
      <c r="J14" s="60"/>
      <c r="K14" s="61"/>
      <c r="L14" s="62">
        <f t="shared" si="0"/>
        <v>0</v>
      </c>
      <c r="M14" s="62">
        <f t="shared" si="1"/>
        <v>0</v>
      </c>
      <c r="N14" s="63">
        <f t="shared" si="2"/>
        <v>0</v>
      </c>
      <c r="O14" s="64"/>
      <c r="P14" s="65"/>
      <c r="Q14" s="66"/>
      <c r="R14" s="67"/>
      <c r="S14" s="68">
        <f t="shared" si="3"/>
        <v>0</v>
      </c>
      <c r="T14" s="69"/>
      <c r="U14" s="70"/>
      <c r="V14" s="70"/>
      <c r="W14" s="70"/>
      <c r="X14" s="71"/>
      <c r="Y14" s="72"/>
      <c r="Z14" s="71"/>
      <c r="AA14" s="71"/>
      <c r="AB14" s="71"/>
      <c r="AC14" s="71"/>
      <c r="AD14" s="73">
        <f t="shared" si="4"/>
        <v>0</v>
      </c>
      <c r="AE14" s="74">
        <f t="shared" si="5"/>
        <v>0</v>
      </c>
      <c r="AF14" s="75">
        <f t="shared" si="6"/>
        <v>0</v>
      </c>
      <c r="AG14" s="1"/>
      <c r="AH14" s="1"/>
      <c r="AI14" s="1"/>
      <c r="AJ14" s="1"/>
      <c r="AK14" s="1"/>
      <c r="AL14" s="1"/>
    </row>
    <row r="15" spans="1:38" ht="16.5" customHeight="1">
      <c r="A15" s="59">
        <f>IF(LEFT($H$1,3)="251",'списки групп'!A15,IF(LEFT($H$1,3)="252",'списки групп'!H15,IF(LEFT($H$1,3)="253",'списки групп'!O15,IF(LEFT($H$1,3)="254",'списки групп'!V15,IF(LEFT($H$1,3)="255",'списки групп'!AC15,IF(LEFT($H$1,3)="256",'списки групп'!AJ15,IF(LEFT($H$1,3)="257",'списки групп'!AR15,IF(LEFT($H$1,3)="258",'списки групп'!AY15,IF(LEFT($H$1,3)="259",'списки групп'!BF15,)))))))))</f>
        <v>11</v>
      </c>
      <c r="B15" s="59">
        <f>IF(LEFT($H$1,3)="251",'списки групп'!B15,IF(LEFT($H$1,3)="252",'списки групп'!I15,IF(LEFT($H$1,3)="253",'списки групп'!P15,IF(LEFT($H$1,3)="254",'списки групп'!W15,IF(LEFT($H$1,3)="255",'списки групп'!AD15,IF(LEFT($H$1,3)="256",'списки групп'!AK15,IF(LEFT($H$1,3)="257",'списки групп'!AS15,IF(LEFT($H$1,3)="258",'списки групп'!AZ15,IF(LEFT($H$1,3)="259",'списки групп'!BG15,)))))))))</f>
        <v>381</v>
      </c>
      <c r="C15" s="59">
        <f>IF(LEFT($H$1,3)="251",'списки групп'!C15,IF(LEFT($H$1,3)="252",'списки групп'!J15,IF(LEFT($H$1,3)="253",'списки групп'!Q15,IF(LEFT($H$1,3)="254",'списки групп'!X15,IF(LEFT($H$1,3)="255",'списки групп'!AE15,IF(LEFT($H$1,3)="256",'списки групп'!AL15,IF(LEFT($H$1,3)="257",'списки групп'!AT15,IF(LEFT($H$1,3)="258",'списки групп'!BA15,IF(LEFT($H$1,3)="259",'списки групп'!BH15,)))))))))</f>
        <v>1</v>
      </c>
      <c r="D15" s="59" t="str">
        <f>IF(LEFT($H$1,3)="251",'списки групп'!D15,IF(LEFT($H$1,3)="252",'списки групп'!K15,IF(LEFT($H$1,3)="253",'списки групп'!R15,IF(LEFT($H$1,3)="254",'списки групп'!Y15,IF(LEFT($H$1,3)="255",'списки групп'!AF15,IF(LEFT($H$1,3)="256",'списки групп'!AM15,IF(LEFT($H$1,3)="257",'списки групп'!AU15,IF(LEFT($H$1,3)="258",'списки групп'!BB15,IF(LEFT($H$1,3)="259",'списки групп'!BI15,)))))))))</f>
        <v>Захаров</v>
      </c>
      <c r="E15" s="59" t="str">
        <f>IF(LEFT($H$1,3)="251",'списки групп'!E15,IF(LEFT($H$1,3)="252",'списки групп'!L15,IF(LEFT($H$1,3)="253",'списки групп'!S15,IF(LEFT($H$1,3)="254",'списки групп'!Z15,IF(LEFT($H$1,3)="255",'списки групп'!AG15,IF(LEFT($H$1,3)="256",'списки групп'!AN15,IF(LEFT($H$1,3)="257",'списки групп'!AV15,IF(LEFT($H$1,3)="258",'списки групп'!BC15,IF(LEFT($H$1,3)="259",'списки групп'!BJ15,)))))))))</f>
        <v>Арсений</v>
      </c>
      <c r="F15" s="60"/>
      <c r="G15" s="61"/>
      <c r="H15" s="60"/>
      <c r="I15" s="61"/>
      <c r="J15" s="60"/>
      <c r="K15" s="61"/>
      <c r="L15" s="62">
        <f t="shared" si="0"/>
        <v>0</v>
      </c>
      <c r="M15" s="62">
        <f t="shared" si="1"/>
        <v>0</v>
      </c>
      <c r="N15" s="63">
        <f t="shared" si="2"/>
        <v>0</v>
      </c>
      <c r="O15" s="64"/>
      <c r="P15" s="76"/>
      <c r="Q15" s="66"/>
      <c r="R15" s="67"/>
      <c r="S15" s="68">
        <f t="shared" si="3"/>
        <v>0</v>
      </c>
      <c r="T15" s="69"/>
      <c r="U15" s="77"/>
      <c r="V15" s="70"/>
      <c r="W15" s="70"/>
      <c r="X15" s="65"/>
      <c r="Y15" s="78"/>
      <c r="Z15" s="65"/>
      <c r="AA15" s="65"/>
      <c r="AB15" s="71"/>
      <c r="AC15" s="71"/>
      <c r="AD15" s="73">
        <f t="shared" si="4"/>
        <v>0</v>
      </c>
      <c r="AE15" s="74">
        <f t="shared" si="5"/>
        <v>0</v>
      </c>
      <c r="AF15" s="75">
        <f t="shared" si="6"/>
        <v>0</v>
      </c>
      <c r="AG15" s="1"/>
      <c r="AH15" s="1"/>
      <c r="AI15" s="1"/>
      <c r="AJ15" s="1"/>
      <c r="AK15" s="1"/>
      <c r="AL15" s="1"/>
    </row>
    <row r="16" spans="1:38" ht="16.5" customHeight="1">
      <c r="A16" s="59">
        <f>IF(LEFT($H$1,3)="251",'списки групп'!A16,IF(LEFT($H$1,3)="252",'списки групп'!H16,IF(LEFT($H$1,3)="253",'списки групп'!O16,IF(LEFT($H$1,3)="254",'списки групп'!V16,IF(LEFT($H$1,3)="255",'списки групп'!AC16,IF(LEFT($H$1,3)="256",'списки групп'!AJ16,IF(LEFT($H$1,3)="257",'списки групп'!AR16,IF(LEFT($H$1,3)="258",'списки групп'!AY16,IF(LEFT($H$1,3)="259",'списки групп'!BF16,)))))))))</f>
        <v>12</v>
      </c>
      <c r="B16" s="59">
        <f>IF(LEFT($H$1,3)="251",'списки групп'!B16,IF(LEFT($H$1,3)="252",'списки групп'!I16,IF(LEFT($H$1,3)="253",'списки групп'!P16,IF(LEFT($H$1,3)="254",'списки групп'!W16,IF(LEFT($H$1,3)="255",'списки групп'!AD16,IF(LEFT($H$1,3)="256",'списки групп'!AK16,IF(LEFT($H$1,3)="257",'списки групп'!AS16,IF(LEFT($H$1,3)="258",'списки групп'!AZ16,IF(LEFT($H$1,3)="259",'списки групп'!BG16,)))))))))</f>
        <v>382</v>
      </c>
      <c r="C16" s="59">
        <f>IF(LEFT($H$1,3)="251",'списки групп'!C16,IF(LEFT($H$1,3)="252",'списки групп'!J16,IF(LEFT($H$1,3)="253",'списки групп'!Q16,IF(LEFT($H$1,3)="254",'списки групп'!X16,IF(LEFT($H$1,3)="255",'списки групп'!AE16,IF(LEFT($H$1,3)="256",'списки групп'!AL16,IF(LEFT($H$1,3)="257",'списки групп'!AT16,IF(LEFT($H$1,3)="258",'списки групп'!BA16,IF(LEFT($H$1,3)="259",'списки групп'!BH16,)))))))))</f>
        <v>1</v>
      </c>
      <c r="D16" s="59" t="str">
        <f>IF(LEFT($H$1,3)="251",'списки групп'!D16,IF(LEFT($H$1,3)="252",'списки групп'!K16,IF(LEFT($H$1,3)="253",'списки групп'!R16,IF(LEFT($H$1,3)="254",'списки групп'!Y16,IF(LEFT($H$1,3)="255",'списки групп'!AF16,IF(LEFT($H$1,3)="256",'списки групп'!AM16,IF(LEFT($H$1,3)="257",'списки групп'!AU16,IF(LEFT($H$1,3)="258",'списки групп'!BB16,IF(LEFT($H$1,3)="259",'списки групп'!BI16,)))))))))</f>
        <v>Ибрагимова</v>
      </c>
      <c r="E16" s="59" t="str">
        <f>IF(LEFT($H$1,3)="251",'списки групп'!E16,IF(LEFT($H$1,3)="252",'списки групп'!L16,IF(LEFT($H$1,3)="253",'списки групп'!S16,IF(LEFT($H$1,3)="254",'списки групп'!Z16,IF(LEFT($H$1,3)="255",'списки групп'!AG16,IF(LEFT($H$1,3)="256",'списки групп'!AN16,IF(LEFT($H$1,3)="257",'списки групп'!AV16,IF(LEFT($H$1,3)="258",'списки групп'!BC16,IF(LEFT($H$1,3)="259",'списки групп'!BJ16,)))))))))</f>
        <v>Саида</v>
      </c>
      <c r="F16" s="60"/>
      <c r="G16" s="61"/>
      <c r="H16" s="60"/>
      <c r="I16" s="61"/>
      <c r="J16" s="60"/>
      <c r="K16" s="61"/>
      <c r="L16" s="62">
        <f t="shared" si="0"/>
        <v>0</v>
      </c>
      <c r="M16" s="62">
        <f t="shared" si="1"/>
        <v>0</v>
      </c>
      <c r="N16" s="63">
        <f t="shared" si="2"/>
        <v>0</v>
      </c>
      <c r="O16" s="64"/>
      <c r="P16" s="65"/>
      <c r="Q16" s="66"/>
      <c r="R16" s="67"/>
      <c r="S16" s="68">
        <f t="shared" si="3"/>
        <v>0</v>
      </c>
      <c r="T16" s="69"/>
      <c r="U16" s="70"/>
      <c r="V16" s="70"/>
      <c r="W16" s="70"/>
      <c r="X16" s="71"/>
      <c r="Y16" s="72"/>
      <c r="Z16" s="71"/>
      <c r="AA16" s="71"/>
      <c r="AB16" s="71"/>
      <c r="AC16" s="71"/>
      <c r="AD16" s="73">
        <f t="shared" si="4"/>
        <v>0</v>
      </c>
      <c r="AE16" s="74">
        <f t="shared" si="5"/>
        <v>0</v>
      </c>
      <c r="AF16" s="75">
        <f t="shared" si="6"/>
        <v>0</v>
      </c>
      <c r="AG16" s="1"/>
      <c r="AH16" s="1"/>
      <c r="AI16" s="1"/>
      <c r="AJ16" s="1"/>
      <c r="AK16" s="1"/>
      <c r="AL16" s="1"/>
    </row>
    <row r="17" spans="1:38" ht="16.5" customHeight="1">
      <c r="A17" s="59">
        <f>IF(LEFT($H$1,3)="251",'списки групп'!A17,IF(LEFT($H$1,3)="252",'списки групп'!H17,IF(LEFT($H$1,3)="253",'списки групп'!O17,IF(LEFT($H$1,3)="254",'списки групп'!V17,IF(LEFT($H$1,3)="255",'списки групп'!AC17,IF(LEFT($H$1,3)="256",'списки групп'!AJ17,IF(LEFT($H$1,3)="257",'списки групп'!AR17,IF(LEFT($H$1,3)="258",'списки групп'!AY17,IF(LEFT($H$1,3)="259",'списки групп'!BF17,)))))))))</f>
        <v>13</v>
      </c>
      <c r="B17" s="59">
        <f>IF(LEFT($H$1,3)="251",'списки групп'!B17,IF(LEFT($H$1,3)="252",'списки групп'!I17,IF(LEFT($H$1,3)="253",'списки групп'!P17,IF(LEFT($H$1,3)="254",'списки групп'!W17,IF(LEFT($H$1,3)="255",'списки групп'!AD17,IF(LEFT($H$1,3)="256",'списки групп'!AK17,IF(LEFT($H$1,3)="257",'списки групп'!AS17,IF(LEFT($H$1,3)="258",'списки групп'!AZ17,IF(LEFT($H$1,3)="259",'списки групп'!BG17,)))))))))</f>
        <v>383</v>
      </c>
      <c r="C17" s="59">
        <f>IF(LEFT($H$1,3)="251",'списки групп'!C17,IF(LEFT($H$1,3)="252",'списки групп'!J17,IF(LEFT($H$1,3)="253",'списки групп'!Q17,IF(LEFT($H$1,3)="254",'списки групп'!X17,IF(LEFT($H$1,3)="255",'списки групп'!AE17,IF(LEFT($H$1,3)="256",'списки групп'!AL17,IF(LEFT($H$1,3)="257",'списки групп'!AT17,IF(LEFT($H$1,3)="258",'списки групп'!BA17,IF(LEFT($H$1,3)="259",'списки групп'!BH17,)))))))))</f>
        <v>1</v>
      </c>
      <c r="D17" s="59" t="str">
        <f>IF(LEFT($H$1,3)="251",'списки групп'!D17,IF(LEFT($H$1,3)="252",'списки групп'!K17,IF(LEFT($H$1,3)="253",'списки групп'!R17,IF(LEFT($H$1,3)="254",'списки групп'!Y17,IF(LEFT($H$1,3)="255",'списки групп'!AF17,IF(LEFT($H$1,3)="256",'списки групп'!AM17,IF(LEFT($H$1,3)="257",'списки групп'!AU17,IF(LEFT($H$1,3)="258",'списки групп'!BB17,IF(LEFT($H$1,3)="259",'списки групп'!BI17,)))))))))</f>
        <v>Ким</v>
      </c>
      <c r="E17" s="59" t="str">
        <f>IF(LEFT($H$1,3)="251",'списки групп'!E17,IF(LEFT($H$1,3)="252",'списки групп'!L17,IF(LEFT($H$1,3)="253",'списки групп'!S17,IF(LEFT($H$1,3)="254",'списки групп'!Z17,IF(LEFT($H$1,3)="255",'списки групп'!AG17,IF(LEFT($H$1,3)="256",'списки групп'!AN17,IF(LEFT($H$1,3)="257",'списки групп'!AV17,IF(LEFT($H$1,3)="258",'списки групп'!BC17,IF(LEFT($H$1,3)="259",'списки групп'!BJ17,)))))))))</f>
        <v>Ванэсса</v>
      </c>
      <c r="F17" s="60"/>
      <c r="G17" s="61"/>
      <c r="H17" s="60"/>
      <c r="I17" s="61"/>
      <c r="J17" s="60"/>
      <c r="K17" s="61"/>
      <c r="L17" s="62">
        <f t="shared" si="0"/>
        <v>0</v>
      </c>
      <c r="M17" s="62">
        <f t="shared" si="1"/>
        <v>0</v>
      </c>
      <c r="N17" s="63">
        <f t="shared" si="2"/>
        <v>0</v>
      </c>
      <c r="O17" s="64"/>
      <c r="P17" s="65"/>
      <c r="Q17" s="66"/>
      <c r="R17" s="67"/>
      <c r="S17" s="68">
        <f t="shared" si="3"/>
        <v>0</v>
      </c>
      <c r="T17" s="69"/>
      <c r="U17" s="70"/>
      <c r="V17" s="70"/>
      <c r="W17" s="70"/>
      <c r="X17" s="71"/>
      <c r="Y17" s="72"/>
      <c r="Z17" s="71"/>
      <c r="AA17" s="71"/>
      <c r="AB17" s="71"/>
      <c r="AC17" s="71"/>
      <c r="AD17" s="73">
        <f t="shared" si="4"/>
        <v>0</v>
      </c>
      <c r="AE17" s="74">
        <f t="shared" si="5"/>
        <v>0</v>
      </c>
      <c r="AF17" s="75">
        <f t="shared" si="6"/>
        <v>0</v>
      </c>
      <c r="AG17" s="1"/>
      <c r="AH17" s="1"/>
      <c r="AI17" s="1"/>
      <c r="AJ17" s="1"/>
      <c r="AK17" s="1"/>
      <c r="AL17" s="1"/>
    </row>
    <row r="18" spans="1:38" ht="16.5" customHeight="1">
      <c r="A18" s="59">
        <f>IF(LEFT($H$1,3)="251",'списки групп'!A18,IF(LEFT($H$1,3)="252",'списки групп'!H18,IF(LEFT($H$1,3)="253",'списки групп'!O18,IF(LEFT($H$1,3)="254",'списки групп'!V18,IF(LEFT($H$1,3)="255",'списки групп'!AC18,IF(LEFT($H$1,3)="256",'списки групп'!AJ18,IF(LEFT($H$1,3)="257",'списки групп'!AR18,IF(LEFT($H$1,3)="258",'списки групп'!AY18,IF(LEFT($H$1,3)="259",'списки групп'!BF18,)))))))))</f>
        <v>14</v>
      </c>
      <c r="B18" s="59">
        <f>IF(LEFT($H$1,3)="251",'списки групп'!B18,IF(LEFT($H$1,3)="252",'списки групп'!I18,IF(LEFT($H$1,3)="253",'списки групп'!P18,IF(LEFT($H$1,3)="254",'списки групп'!W18,IF(LEFT($H$1,3)="255",'списки групп'!AD18,IF(LEFT($H$1,3)="256",'списки групп'!AK18,IF(LEFT($H$1,3)="257",'списки групп'!AS18,IF(LEFT($H$1,3)="258",'списки групп'!AZ18,IF(LEFT($H$1,3)="259",'списки групп'!BG18,)))))))))</f>
        <v>384</v>
      </c>
      <c r="C18" s="59">
        <f>IF(LEFT($H$1,3)="251",'списки групп'!C18,IF(LEFT($H$1,3)="252",'списки групп'!J18,IF(LEFT($H$1,3)="253",'списки групп'!Q18,IF(LEFT($H$1,3)="254",'списки групп'!X18,IF(LEFT($H$1,3)="255",'списки групп'!AE18,IF(LEFT($H$1,3)="256",'списки групп'!AL18,IF(LEFT($H$1,3)="257",'списки групп'!AT18,IF(LEFT($H$1,3)="258",'списки групп'!BA18,IF(LEFT($H$1,3)="259",'списки групп'!BH18,)))))))))</f>
        <v>1</v>
      </c>
      <c r="D18" s="59" t="str">
        <f>IF(LEFT($H$1,3)="251",'списки групп'!D18,IF(LEFT($H$1,3)="252",'списки групп'!K18,IF(LEFT($H$1,3)="253",'списки групп'!R18,IF(LEFT($H$1,3)="254",'списки групп'!Y18,IF(LEFT($H$1,3)="255",'списки групп'!AF18,IF(LEFT($H$1,3)="256",'списки групп'!AM18,IF(LEFT($H$1,3)="257",'списки групп'!AU18,IF(LEFT($H$1,3)="258",'списки групп'!BB18,IF(LEFT($H$1,3)="259",'списки групп'!BI18,)))))))))</f>
        <v>Лапшин</v>
      </c>
      <c r="E18" s="59" t="str">
        <f>IF(LEFT($H$1,3)="251",'списки групп'!E18,IF(LEFT($H$1,3)="252",'списки групп'!L18,IF(LEFT($H$1,3)="253",'списки групп'!S18,IF(LEFT($H$1,3)="254",'списки групп'!Z18,IF(LEFT($H$1,3)="255",'списки групп'!AG18,IF(LEFT($H$1,3)="256",'списки групп'!AN18,IF(LEFT($H$1,3)="257",'списки групп'!AV18,IF(LEFT($H$1,3)="258",'списки групп'!BC18,IF(LEFT($H$1,3)="259",'списки групп'!BJ18,)))))))))</f>
        <v>Дмитрий</v>
      </c>
      <c r="F18" s="60"/>
      <c r="G18" s="61"/>
      <c r="H18" s="60"/>
      <c r="I18" s="61"/>
      <c r="J18" s="60"/>
      <c r="K18" s="61"/>
      <c r="L18" s="62">
        <f t="shared" si="0"/>
        <v>0</v>
      </c>
      <c r="M18" s="62">
        <f t="shared" si="1"/>
        <v>0</v>
      </c>
      <c r="N18" s="63">
        <f t="shared" si="2"/>
        <v>0</v>
      </c>
      <c r="O18" s="64"/>
      <c r="P18" s="65">
        <v>2</v>
      </c>
      <c r="Q18" s="66"/>
      <c r="R18" s="67"/>
      <c r="S18" s="68">
        <f t="shared" si="3"/>
        <v>6.7</v>
      </c>
      <c r="T18" s="69"/>
      <c r="U18" s="70"/>
      <c r="V18" s="70"/>
      <c r="W18" s="70"/>
      <c r="X18" s="71"/>
      <c r="Y18" s="72"/>
      <c r="Z18" s="71"/>
      <c r="AA18" s="71"/>
      <c r="AB18" s="71"/>
      <c r="AC18" s="71"/>
      <c r="AD18" s="73">
        <f t="shared" si="4"/>
        <v>0</v>
      </c>
      <c r="AE18" s="74">
        <f t="shared" si="5"/>
        <v>0.67</v>
      </c>
      <c r="AF18" s="75">
        <f t="shared" si="6"/>
        <v>1</v>
      </c>
      <c r="AG18" s="1"/>
      <c r="AH18" s="1"/>
      <c r="AI18" s="1"/>
      <c r="AJ18" s="1"/>
      <c r="AK18" s="1"/>
      <c r="AL18" s="1"/>
    </row>
    <row r="19" spans="1:38" ht="16.5" customHeight="1">
      <c r="A19" s="59">
        <f>IF(LEFT($H$1,3)="251",'списки групп'!A19,IF(LEFT($H$1,3)="252",'списки групп'!H19,IF(LEFT($H$1,3)="253",'списки групп'!O19,IF(LEFT($H$1,3)="254",'списки групп'!V19,IF(LEFT($H$1,3)="255",'списки групп'!AC19,IF(LEFT($H$1,3)="256",'списки групп'!AJ19,IF(LEFT($H$1,3)="257",'списки групп'!AR19,IF(LEFT($H$1,3)="258",'списки групп'!AY19,IF(LEFT($H$1,3)="259",'списки групп'!BF19,)))))))))</f>
        <v>15</v>
      </c>
      <c r="B19" s="59">
        <f>IF(LEFT($H$1,3)="251",'списки групп'!B19,IF(LEFT($H$1,3)="252",'списки групп'!I19,IF(LEFT($H$1,3)="253",'списки групп'!P19,IF(LEFT($H$1,3)="254",'списки групп'!W19,IF(LEFT($H$1,3)="255",'списки групп'!AD19,IF(LEFT($H$1,3)="256",'списки групп'!AK19,IF(LEFT($H$1,3)="257",'списки групп'!AS19,IF(LEFT($H$1,3)="258",'списки групп'!AZ19,IF(LEFT($H$1,3)="259",'списки групп'!BG19,)))))))))</f>
        <v>385</v>
      </c>
      <c r="C19" s="59">
        <f>IF(LEFT($H$1,3)="251",'списки групп'!C19,IF(LEFT($H$1,3)="252",'списки групп'!J19,IF(LEFT($H$1,3)="253",'списки групп'!Q19,IF(LEFT($H$1,3)="254",'списки групп'!X19,IF(LEFT($H$1,3)="255",'списки групп'!AE19,IF(LEFT($H$1,3)="256",'списки групп'!AL19,IF(LEFT($H$1,3)="257",'списки групп'!AT19,IF(LEFT($H$1,3)="258",'списки групп'!BA19,IF(LEFT($H$1,3)="259",'списки групп'!BH19,)))))))))</f>
        <v>2</v>
      </c>
      <c r="D19" s="59" t="str">
        <f>IF(LEFT($H$1,3)="251",'списки групп'!D19,IF(LEFT($H$1,3)="252",'списки групп'!K19,IF(LEFT($H$1,3)="253",'списки групп'!R19,IF(LEFT($H$1,3)="254",'списки групп'!Y19,IF(LEFT($H$1,3)="255",'списки групп'!AF19,IF(LEFT($H$1,3)="256",'списки групп'!AM19,IF(LEFT($H$1,3)="257",'списки групп'!AU19,IF(LEFT($H$1,3)="258",'списки групп'!BB19,IF(LEFT($H$1,3)="259",'списки групп'!BI19,)))))))))</f>
        <v>Ли</v>
      </c>
      <c r="E19" s="59" t="str">
        <f>IF(LEFT($H$1,3)="251",'списки групп'!E19,IF(LEFT($H$1,3)="252",'списки групп'!L19,IF(LEFT($H$1,3)="253",'списки групп'!S19,IF(LEFT($H$1,3)="254",'списки групп'!Z19,IF(LEFT($H$1,3)="255",'списки групп'!AG19,IF(LEFT($H$1,3)="256",'списки групп'!AN19,IF(LEFT($H$1,3)="257",'списки групп'!AV19,IF(LEFT($H$1,3)="258",'списки групп'!BC19,IF(LEFT($H$1,3)="259",'списки групп'!BJ19,)))))))))</f>
        <v>Инна</v>
      </c>
      <c r="F19" s="60"/>
      <c r="G19" s="61"/>
      <c r="H19" s="60"/>
      <c r="I19" s="61"/>
      <c r="J19" s="60"/>
      <c r="K19" s="61"/>
      <c r="L19" s="62">
        <f t="shared" si="0"/>
        <v>0</v>
      </c>
      <c r="M19" s="62">
        <f t="shared" si="1"/>
        <v>0</v>
      </c>
      <c r="N19" s="63">
        <f t="shared" si="2"/>
        <v>0</v>
      </c>
      <c r="O19" s="64"/>
      <c r="P19" s="65"/>
      <c r="Q19" s="66"/>
      <c r="R19" s="67"/>
      <c r="S19" s="68">
        <f t="shared" si="3"/>
        <v>0</v>
      </c>
      <c r="T19" s="69"/>
      <c r="U19" s="70"/>
      <c r="V19" s="70"/>
      <c r="W19" s="70"/>
      <c r="X19" s="71"/>
      <c r="Y19" s="72"/>
      <c r="Z19" s="71"/>
      <c r="AA19" s="71"/>
      <c r="AB19" s="71"/>
      <c r="AC19" s="71"/>
      <c r="AD19" s="73">
        <f t="shared" si="4"/>
        <v>0</v>
      </c>
      <c r="AE19" s="74">
        <f t="shared" si="5"/>
        <v>0</v>
      </c>
      <c r="AF19" s="75">
        <f t="shared" si="6"/>
        <v>0</v>
      </c>
      <c r="AG19" s="1"/>
      <c r="AH19" s="1"/>
      <c r="AI19" s="1"/>
      <c r="AJ19" s="1"/>
      <c r="AK19" s="1"/>
      <c r="AL19" s="1"/>
    </row>
    <row r="20" spans="1:38" ht="16.5" customHeight="1">
      <c r="A20" s="59">
        <f>IF(LEFT($H$1,3)="251",'списки групп'!A20,IF(LEFT($H$1,3)="252",'списки групп'!H20,IF(LEFT($H$1,3)="253",'списки групп'!O20,IF(LEFT($H$1,3)="254",'списки групп'!V20,IF(LEFT($H$1,3)="255",'списки групп'!AC20,IF(LEFT($H$1,3)="256",'списки групп'!AJ20,IF(LEFT($H$1,3)="257",'списки групп'!AR20,IF(LEFT($H$1,3)="258",'списки групп'!AY20,IF(LEFT($H$1,3)="259",'списки групп'!BF20,)))))))))</f>
        <v>16</v>
      </c>
      <c r="B20" s="59">
        <f>IF(LEFT($H$1,3)="251",'списки групп'!B20,IF(LEFT($H$1,3)="252",'списки групп'!I20,IF(LEFT($H$1,3)="253",'списки групп'!P20,IF(LEFT($H$1,3)="254",'списки групп'!W20,IF(LEFT($H$1,3)="255",'списки групп'!AD20,IF(LEFT($H$1,3)="256",'списки групп'!AK20,IF(LEFT($H$1,3)="257",'списки групп'!AS20,IF(LEFT($H$1,3)="258",'списки групп'!AZ20,IF(LEFT($H$1,3)="259",'списки групп'!BG20,)))))))))</f>
        <v>386</v>
      </c>
      <c r="C20" s="59">
        <f>IF(LEFT($H$1,3)="251",'списки групп'!C20,IF(LEFT($H$1,3)="252",'списки групп'!J20,IF(LEFT($H$1,3)="253",'списки групп'!Q20,IF(LEFT($H$1,3)="254",'списки групп'!X20,IF(LEFT($H$1,3)="255",'списки групп'!AE20,IF(LEFT($H$1,3)="256",'списки групп'!AL20,IF(LEFT($H$1,3)="257",'списки групп'!AT20,IF(LEFT($H$1,3)="258",'списки групп'!BA20,IF(LEFT($H$1,3)="259",'списки групп'!BH20,)))))))))</f>
        <v>2</v>
      </c>
      <c r="D20" s="59" t="str">
        <f>IF(LEFT($H$1,3)="251",'списки групп'!D20,IF(LEFT($H$1,3)="252",'списки групп'!K20,IF(LEFT($H$1,3)="253",'списки групп'!R20,IF(LEFT($H$1,3)="254",'списки групп'!Y20,IF(LEFT($H$1,3)="255",'списки групп'!AF20,IF(LEFT($H$1,3)="256",'списки групп'!AM20,IF(LEFT($H$1,3)="257",'списки групп'!AU20,IF(LEFT($H$1,3)="258",'списки групп'!BB20,IF(LEFT($H$1,3)="259",'списки групп'!BI20,)))))))))</f>
        <v>Лилье</v>
      </c>
      <c r="E20" s="59" t="str">
        <f>IF(LEFT($H$1,3)="251",'списки групп'!E20,IF(LEFT($H$1,3)="252",'списки групп'!L20,IF(LEFT($H$1,3)="253",'списки групп'!S20,IF(LEFT($H$1,3)="254",'списки групп'!Z20,IF(LEFT($H$1,3)="255",'списки групп'!AG20,IF(LEFT($H$1,3)="256",'списки групп'!AN20,IF(LEFT($H$1,3)="257",'списки групп'!AV20,IF(LEFT($H$1,3)="258",'списки групп'!BC20,IF(LEFT($H$1,3)="259",'списки групп'!BJ20,)))))))))</f>
        <v>Артём</v>
      </c>
      <c r="F20" s="60"/>
      <c r="G20" s="61"/>
      <c r="H20" s="60"/>
      <c r="I20" s="61"/>
      <c r="J20" s="60"/>
      <c r="K20" s="61"/>
      <c r="L20" s="62">
        <f t="shared" si="0"/>
        <v>0</v>
      </c>
      <c r="M20" s="62">
        <f t="shared" si="1"/>
        <v>0</v>
      </c>
      <c r="N20" s="63">
        <f t="shared" si="2"/>
        <v>0</v>
      </c>
      <c r="O20" s="64">
        <v>2</v>
      </c>
      <c r="Q20" s="65">
        <v>2</v>
      </c>
      <c r="R20" s="67"/>
      <c r="S20" s="68">
        <f t="shared" si="3"/>
        <v>6.7</v>
      </c>
      <c r="T20" s="69"/>
      <c r="U20" s="70"/>
      <c r="V20" s="70"/>
      <c r="W20" s="70"/>
      <c r="X20" s="71"/>
      <c r="Y20" s="72"/>
      <c r="Z20" s="71"/>
      <c r="AA20" s="71"/>
      <c r="AB20" s="71"/>
      <c r="AC20" s="71"/>
      <c r="AD20" s="73">
        <f t="shared" si="4"/>
        <v>0</v>
      </c>
      <c r="AE20" s="74">
        <f t="shared" si="5"/>
        <v>0.67</v>
      </c>
      <c r="AF20" s="75">
        <f t="shared" si="6"/>
        <v>1</v>
      </c>
      <c r="AG20" s="1"/>
      <c r="AH20" s="1"/>
      <c r="AI20" s="1"/>
      <c r="AJ20" s="1"/>
      <c r="AK20" s="1"/>
      <c r="AL20" s="1"/>
    </row>
    <row r="21" spans="1:38" ht="16.5" customHeight="1">
      <c r="A21" s="59">
        <f>IF(LEFT($H$1,3)="251",'списки групп'!A21,IF(LEFT($H$1,3)="252",'списки групп'!H21,IF(LEFT($H$1,3)="253",'списки групп'!O21,IF(LEFT($H$1,3)="254",'списки групп'!V21,IF(LEFT($H$1,3)="255",'списки групп'!AC21,IF(LEFT($H$1,3)="256",'списки групп'!AJ21,IF(LEFT($H$1,3)="257",'списки групп'!AR21,IF(LEFT($H$1,3)="258",'списки групп'!AY21,IF(LEFT($H$1,3)="259",'списки групп'!BF21,)))))))))</f>
        <v>17</v>
      </c>
      <c r="B21" s="59">
        <f>IF(LEFT($H$1,3)="251",'списки групп'!B21,IF(LEFT($H$1,3)="252",'списки групп'!I21,IF(LEFT($H$1,3)="253",'списки групп'!P21,IF(LEFT($H$1,3)="254",'списки групп'!W21,IF(LEFT($H$1,3)="255",'списки групп'!AD21,IF(LEFT($H$1,3)="256",'списки групп'!AK21,IF(LEFT($H$1,3)="257",'списки групп'!AS21,IF(LEFT($H$1,3)="258",'списки групп'!AZ21,IF(LEFT($H$1,3)="259",'списки групп'!BG21,)))))))))</f>
        <v>387</v>
      </c>
      <c r="C21" s="59">
        <f>IF(LEFT($H$1,3)="251",'списки групп'!C21,IF(LEFT($H$1,3)="252",'списки групп'!J21,IF(LEFT($H$1,3)="253",'списки групп'!Q21,IF(LEFT($H$1,3)="254",'списки групп'!X21,IF(LEFT($H$1,3)="255",'списки групп'!AE21,IF(LEFT($H$1,3)="256",'списки групп'!AL21,IF(LEFT($H$1,3)="257",'списки групп'!AT21,IF(LEFT($H$1,3)="258",'списки групп'!BA21,IF(LEFT($H$1,3)="259",'списки групп'!BH21,)))))))))</f>
        <v>2</v>
      </c>
      <c r="D21" s="59" t="str">
        <f>IF(LEFT($H$1,3)="251",'списки групп'!D21,IF(LEFT($H$1,3)="252",'списки групп'!K21,IF(LEFT($H$1,3)="253",'списки групп'!R21,IF(LEFT($H$1,3)="254",'списки групп'!Y21,IF(LEFT($H$1,3)="255",'списки групп'!AF21,IF(LEFT($H$1,3)="256",'списки групп'!AM21,IF(LEFT($H$1,3)="257",'списки групп'!AU21,IF(LEFT($H$1,3)="258",'списки групп'!BB21,IF(LEFT($H$1,3)="259",'списки групп'!BI21,)))))))))</f>
        <v>Лысов</v>
      </c>
      <c r="E21" s="59" t="str">
        <f>IF(LEFT($H$1,3)="251",'списки групп'!E21,IF(LEFT($H$1,3)="252",'списки групп'!L21,IF(LEFT($H$1,3)="253",'списки групп'!S21,IF(LEFT($H$1,3)="254",'списки групп'!Z21,IF(LEFT($H$1,3)="255",'списки групп'!AG21,IF(LEFT($H$1,3)="256",'списки групп'!AN21,IF(LEFT($H$1,3)="257",'списки групп'!AV21,IF(LEFT($H$1,3)="258",'списки групп'!BC21,IF(LEFT($H$1,3)="259",'списки групп'!BJ21,)))))))))</f>
        <v>Денис</v>
      </c>
      <c r="F21" s="60"/>
      <c r="G21" s="61"/>
      <c r="H21" s="60"/>
      <c r="I21" s="61"/>
      <c r="J21" s="60"/>
      <c r="K21" s="61"/>
      <c r="L21" s="62">
        <f t="shared" si="0"/>
        <v>0</v>
      </c>
      <c r="M21" s="62">
        <f t="shared" si="1"/>
        <v>0</v>
      </c>
      <c r="N21" s="63">
        <f t="shared" si="2"/>
        <v>0</v>
      </c>
      <c r="O21" s="64"/>
      <c r="Q21" s="65">
        <v>2</v>
      </c>
      <c r="R21" s="67"/>
      <c r="S21" s="68">
        <f t="shared" si="3"/>
        <v>6.7</v>
      </c>
      <c r="T21" s="69"/>
      <c r="U21" s="70"/>
      <c r="V21" s="70"/>
      <c r="W21" s="70"/>
      <c r="X21" s="71"/>
      <c r="Y21" s="72"/>
      <c r="Z21" s="71"/>
      <c r="AA21" s="71"/>
      <c r="AB21" s="71"/>
      <c r="AC21" s="71"/>
      <c r="AD21" s="73">
        <f t="shared" si="4"/>
        <v>0</v>
      </c>
      <c r="AE21" s="74">
        <f t="shared" si="5"/>
        <v>0.67</v>
      </c>
      <c r="AF21" s="75">
        <f t="shared" si="6"/>
        <v>1</v>
      </c>
      <c r="AG21" s="1"/>
      <c r="AH21" s="1"/>
      <c r="AI21" s="1"/>
      <c r="AJ21" s="1"/>
      <c r="AK21" s="1"/>
      <c r="AL21" s="1"/>
    </row>
    <row r="22" spans="1:38" ht="16.5" customHeight="1">
      <c r="A22" s="59">
        <f>IF(LEFT($H$1,3)="251",'списки групп'!A22,IF(LEFT($H$1,3)="252",'списки групп'!H22,IF(LEFT($H$1,3)="253",'списки групп'!O22,IF(LEFT($H$1,3)="254",'списки групп'!V22,IF(LEFT($H$1,3)="255",'списки групп'!AC22,IF(LEFT($H$1,3)="256",'списки групп'!AJ22,IF(LEFT($H$1,3)="257",'списки групп'!AR22,IF(LEFT($H$1,3)="258",'списки групп'!AY22,IF(LEFT($H$1,3)="259",'списки групп'!BF22,)))))))))</f>
        <v>18</v>
      </c>
      <c r="B22" s="59">
        <f>IF(LEFT($H$1,3)="251",'списки групп'!B22,IF(LEFT($H$1,3)="252",'списки групп'!I22,IF(LEFT($H$1,3)="253",'списки групп'!P22,IF(LEFT($H$1,3)="254",'списки групп'!W22,IF(LEFT($H$1,3)="255",'списки групп'!AD22,IF(LEFT($H$1,3)="256",'списки групп'!AK22,IF(LEFT($H$1,3)="257",'списки групп'!AS22,IF(LEFT($H$1,3)="258",'списки групп'!AZ22,IF(LEFT($H$1,3)="259",'списки групп'!BG22,)))))))))</f>
        <v>388</v>
      </c>
      <c r="C22" s="59">
        <f>IF(LEFT($H$1,3)="251",'списки групп'!C22,IF(LEFT($H$1,3)="252",'списки групп'!J22,IF(LEFT($H$1,3)="253",'списки групп'!Q22,IF(LEFT($H$1,3)="254",'списки групп'!X22,IF(LEFT($H$1,3)="255",'списки групп'!AE22,IF(LEFT($H$1,3)="256",'списки групп'!AL22,IF(LEFT($H$1,3)="257",'списки групп'!AT22,IF(LEFT($H$1,3)="258",'списки групп'!BA22,IF(LEFT($H$1,3)="259",'списки групп'!BH22,)))))))))</f>
        <v>2</v>
      </c>
      <c r="D22" s="59" t="str">
        <f>IF(LEFT($H$1,3)="251",'списки групп'!D22,IF(LEFT($H$1,3)="252",'списки групп'!K22,IF(LEFT($H$1,3)="253",'списки групп'!R22,IF(LEFT($H$1,3)="254",'списки групп'!Y22,IF(LEFT($H$1,3)="255",'списки групп'!AF22,IF(LEFT($H$1,3)="256",'списки групп'!AM22,IF(LEFT($H$1,3)="257",'списки групп'!AU22,IF(LEFT($H$1,3)="258",'списки групп'!BB22,IF(LEFT($H$1,3)="259",'списки групп'!BI22,)))))))))</f>
        <v>Невмянов</v>
      </c>
      <c r="E22" s="59" t="str">
        <f>IF(LEFT($H$1,3)="251",'списки групп'!E22,IF(LEFT($H$1,3)="252",'списки групп'!L22,IF(LEFT($H$1,3)="253",'списки групп'!S22,IF(LEFT($H$1,3)="254",'списки групп'!Z22,IF(LEFT($H$1,3)="255",'списки групп'!AG22,IF(LEFT($H$1,3)="256",'списки групп'!AN22,IF(LEFT($H$1,3)="257",'списки групп'!AV22,IF(LEFT($H$1,3)="258",'списки групп'!BC22,IF(LEFT($H$1,3)="259",'списки групп'!BJ22,)))))))))</f>
        <v>Артур</v>
      </c>
      <c r="F22" s="60"/>
      <c r="G22" s="61"/>
      <c r="H22" s="60"/>
      <c r="I22" s="61"/>
      <c r="J22" s="60"/>
      <c r="K22" s="61"/>
      <c r="L22" s="62">
        <f t="shared" si="0"/>
        <v>0</v>
      </c>
      <c r="M22" s="62">
        <f t="shared" si="1"/>
        <v>0</v>
      </c>
      <c r="N22" s="63">
        <f t="shared" si="2"/>
        <v>0</v>
      </c>
      <c r="O22" s="64"/>
      <c r="P22" s="65"/>
      <c r="Q22" s="66"/>
      <c r="R22" s="67"/>
      <c r="S22" s="68">
        <f t="shared" si="3"/>
        <v>0</v>
      </c>
      <c r="T22" s="69"/>
      <c r="U22" s="70"/>
      <c r="V22" s="70"/>
      <c r="W22" s="70"/>
      <c r="X22" s="71"/>
      <c r="Y22" s="72"/>
      <c r="Z22" s="71"/>
      <c r="AA22" s="71"/>
      <c r="AB22" s="71"/>
      <c r="AC22" s="71"/>
      <c r="AD22" s="73">
        <f t="shared" si="4"/>
        <v>0</v>
      </c>
      <c r="AE22" s="74">
        <f t="shared" si="5"/>
        <v>0</v>
      </c>
      <c r="AF22" s="75">
        <f t="shared" si="6"/>
        <v>0</v>
      </c>
      <c r="AG22" s="1"/>
      <c r="AH22" s="1"/>
      <c r="AI22" s="1"/>
      <c r="AJ22" s="1"/>
      <c r="AK22" s="1"/>
      <c r="AL22" s="1"/>
    </row>
    <row r="23" spans="1:38" ht="16.5" customHeight="1">
      <c r="A23" s="59">
        <f>IF(LEFT($H$1,3)="251",'списки групп'!A23,IF(LEFT($H$1,3)="252",'списки групп'!H23,IF(LEFT($H$1,3)="253",'списки групп'!O23,IF(LEFT($H$1,3)="254",'списки групп'!V23,IF(LEFT($H$1,3)="255",'списки групп'!AC23,IF(LEFT($H$1,3)="256",'списки групп'!AJ23,IF(LEFT($H$1,3)="257",'списки групп'!AR23,IF(LEFT($H$1,3)="258",'списки групп'!AY23,IF(LEFT($H$1,3)="259",'списки групп'!BF23,)))))))))</f>
        <v>19</v>
      </c>
      <c r="B23" s="59">
        <f>IF(LEFT($H$1,3)="251",'списки групп'!B23,IF(LEFT($H$1,3)="252",'списки групп'!I23,IF(LEFT($H$1,3)="253",'списки групп'!P23,IF(LEFT($H$1,3)="254",'списки групп'!W23,IF(LEFT($H$1,3)="255",'списки групп'!AD23,IF(LEFT($H$1,3)="256",'списки групп'!AK23,IF(LEFT($H$1,3)="257",'списки групп'!AS23,IF(LEFT($H$1,3)="258",'списки групп'!AZ23,IF(LEFT($H$1,3)="259",'списки групп'!BG23,)))))))))</f>
        <v>389</v>
      </c>
      <c r="C23" s="59">
        <f>IF(LEFT($H$1,3)="251",'списки групп'!C23,IF(LEFT($H$1,3)="252",'списки групп'!J23,IF(LEFT($H$1,3)="253",'списки групп'!Q23,IF(LEFT($H$1,3)="254",'списки групп'!X23,IF(LEFT($H$1,3)="255",'списки групп'!AE23,IF(LEFT($H$1,3)="256",'списки групп'!AL23,IF(LEFT($H$1,3)="257",'списки групп'!AT23,IF(LEFT($H$1,3)="258",'списки групп'!BA23,IF(LEFT($H$1,3)="259",'списки групп'!BH23,)))))))))</f>
        <v>2</v>
      </c>
      <c r="D23" s="59" t="str">
        <f>IF(LEFT($H$1,3)="251",'списки групп'!D23,IF(LEFT($H$1,3)="252",'списки групп'!K23,IF(LEFT($H$1,3)="253",'списки групп'!R23,IF(LEFT($H$1,3)="254",'списки групп'!Y23,IF(LEFT($H$1,3)="255",'списки групп'!AF23,IF(LEFT($H$1,3)="256",'списки групп'!AM23,IF(LEFT($H$1,3)="257",'списки групп'!AU23,IF(LEFT($H$1,3)="258",'списки групп'!BB23,IF(LEFT($H$1,3)="259",'списки групп'!BI23,)))))))))</f>
        <v>Поликарпова</v>
      </c>
      <c r="E23" s="59" t="str">
        <f>IF(LEFT($H$1,3)="251",'списки групп'!E23,IF(LEFT($H$1,3)="252",'списки групп'!L23,IF(LEFT($H$1,3)="253",'списки групп'!S23,IF(LEFT($H$1,3)="254",'списки групп'!Z23,IF(LEFT($H$1,3)="255",'списки групп'!AG23,IF(LEFT($H$1,3)="256",'списки групп'!AN23,IF(LEFT($H$1,3)="257",'списки групп'!AV23,IF(LEFT($H$1,3)="258",'списки групп'!BC23,IF(LEFT($H$1,3)="259",'списки групп'!BJ23,)))))))))</f>
        <v>Софья</v>
      </c>
      <c r="F23" s="60"/>
      <c r="G23" s="61"/>
      <c r="H23" s="60"/>
      <c r="I23" s="61"/>
      <c r="J23" s="60"/>
      <c r="K23" s="61"/>
      <c r="L23" s="62">
        <f t="shared" si="0"/>
        <v>0</v>
      </c>
      <c r="M23" s="62">
        <f t="shared" si="1"/>
        <v>0</v>
      </c>
      <c r="N23" s="63">
        <f t="shared" si="2"/>
        <v>0</v>
      </c>
      <c r="O23" s="64"/>
      <c r="P23" s="65"/>
      <c r="Q23" s="66"/>
      <c r="R23" s="67"/>
      <c r="S23" s="68">
        <f t="shared" si="3"/>
        <v>0</v>
      </c>
      <c r="T23" s="69"/>
      <c r="U23" s="70"/>
      <c r="V23" s="70"/>
      <c r="W23" s="70"/>
      <c r="X23" s="71"/>
      <c r="Y23" s="72"/>
      <c r="Z23" s="71"/>
      <c r="AA23" s="71"/>
      <c r="AB23" s="71"/>
      <c r="AC23" s="71"/>
      <c r="AD23" s="73">
        <f t="shared" si="4"/>
        <v>0</v>
      </c>
      <c r="AE23" s="74">
        <f t="shared" si="5"/>
        <v>0</v>
      </c>
      <c r="AF23" s="75">
        <f t="shared" si="6"/>
        <v>0</v>
      </c>
      <c r="AG23" s="1"/>
      <c r="AH23" s="1"/>
      <c r="AI23" s="1"/>
      <c r="AJ23" s="1"/>
      <c r="AK23" s="1"/>
      <c r="AL23" s="1"/>
    </row>
    <row r="24" spans="1:38" ht="16.5" customHeight="1">
      <c r="A24" s="59">
        <f>IF(LEFT($H$1,3)="251",'списки групп'!A24,IF(LEFT($H$1,3)="252",'списки групп'!H24,IF(LEFT($H$1,3)="253",'списки групп'!O24,IF(LEFT($H$1,3)="254",'списки групп'!V24,IF(LEFT($H$1,3)="255",'списки групп'!AC24,IF(LEFT($H$1,3)="256",'списки групп'!AJ24,IF(LEFT($H$1,3)="257",'списки групп'!AR24,IF(LEFT($H$1,3)="258",'списки групп'!AY24,IF(LEFT($H$1,3)="259",'списки групп'!BF24,)))))))))</f>
        <v>20</v>
      </c>
      <c r="B24" s="59">
        <f>IF(LEFT($H$1,3)="251",'списки групп'!B24,IF(LEFT($H$1,3)="252",'списки групп'!I24,IF(LEFT($H$1,3)="253",'списки групп'!P24,IF(LEFT($H$1,3)="254",'списки групп'!W24,IF(LEFT($H$1,3)="255",'списки групп'!AD24,IF(LEFT($H$1,3)="256",'списки групп'!AK24,IF(LEFT($H$1,3)="257",'списки групп'!AS24,IF(LEFT($H$1,3)="258",'списки групп'!AZ24,IF(LEFT($H$1,3)="259",'списки групп'!BG24,)))))))))</f>
        <v>390</v>
      </c>
      <c r="C24" s="59">
        <f>IF(LEFT($H$1,3)="251",'списки групп'!C24,IF(LEFT($H$1,3)="252",'списки групп'!J24,IF(LEFT($H$1,3)="253",'списки групп'!Q24,IF(LEFT($H$1,3)="254",'списки групп'!X24,IF(LEFT($H$1,3)="255",'списки групп'!AE24,IF(LEFT($H$1,3)="256",'списки групп'!AL24,IF(LEFT($H$1,3)="257",'списки групп'!AT24,IF(LEFT($H$1,3)="258",'списки групп'!BA24,IF(LEFT($H$1,3)="259",'списки групп'!BH24,)))))))))</f>
        <v>2</v>
      </c>
      <c r="D24" s="59" t="str">
        <f>IF(LEFT($H$1,3)="251",'списки групп'!D24,IF(LEFT($H$1,3)="252",'списки групп'!K24,IF(LEFT($H$1,3)="253",'списки групп'!R24,IF(LEFT($H$1,3)="254",'списки групп'!Y24,IF(LEFT($H$1,3)="255",'списки групп'!AF24,IF(LEFT($H$1,3)="256",'списки групп'!AM24,IF(LEFT($H$1,3)="257",'списки групп'!AU24,IF(LEFT($H$1,3)="258",'списки групп'!BB24,IF(LEFT($H$1,3)="259",'списки групп'!BI24,)))))))))</f>
        <v>Польский</v>
      </c>
      <c r="E24" s="59" t="str">
        <f>IF(LEFT($H$1,3)="251",'списки групп'!E24,IF(LEFT($H$1,3)="252",'списки групп'!L24,IF(LEFT($H$1,3)="253",'списки групп'!S24,IF(LEFT($H$1,3)="254",'списки групп'!Z24,IF(LEFT($H$1,3)="255",'списки групп'!AG24,IF(LEFT($H$1,3)="256",'списки групп'!AN24,IF(LEFT($H$1,3)="257",'списки групп'!AV24,IF(LEFT($H$1,3)="258",'списки групп'!BC24,IF(LEFT($H$1,3)="259",'списки групп'!BJ24,)))))))))</f>
        <v>Игорь</v>
      </c>
      <c r="F24" s="60"/>
      <c r="G24" s="61"/>
      <c r="H24" s="60"/>
      <c r="I24" s="61"/>
      <c r="J24" s="60"/>
      <c r="K24" s="61"/>
      <c r="L24" s="62">
        <f t="shared" si="0"/>
        <v>0</v>
      </c>
      <c r="M24" s="62">
        <f t="shared" si="1"/>
        <v>0</v>
      </c>
      <c r="N24" s="63">
        <f t="shared" si="2"/>
        <v>0</v>
      </c>
      <c r="O24" s="64"/>
      <c r="P24" s="65"/>
      <c r="Q24" s="66"/>
      <c r="R24" s="67"/>
      <c r="S24" s="68">
        <f t="shared" si="3"/>
        <v>0</v>
      </c>
      <c r="T24" s="69"/>
      <c r="U24" s="70"/>
      <c r="V24" s="70"/>
      <c r="W24" s="70"/>
      <c r="X24" s="71"/>
      <c r="Y24" s="72"/>
      <c r="Z24" s="71"/>
      <c r="AA24" s="71"/>
      <c r="AB24" s="71"/>
      <c r="AC24" s="71"/>
      <c r="AD24" s="73">
        <f t="shared" si="4"/>
        <v>0</v>
      </c>
      <c r="AE24" s="74">
        <f t="shared" si="5"/>
        <v>0</v>
      </c>
      <c r="AF24" s="75">
        <f t="shared" si="6"/>
        <v>0</v>
      </c>
      <c r="AG24" s="1"/>
      <c r="AH24" s="1"/>
      <c r="AI24" s="1"/>
      <c r="AJ24" s="1"/>
      <c r="AK24" s="1"/>
      <c r="AL24" s="1"/>
    </row>
    <row r="25" spans="1:38" ht="16.5" customHeight="1">
      <c r="A25" s="59">
        <f>IF(LEFT($H$1,3)="251",'списки групп'!A25,IF(LEFT($H$1,3)="252",'списки групп'!H25,IF(LEFT($H$1,3)="253",'списки групп'!O25,IF(LEFT($H$1,3)="254",'списки групп'!V25,IF(LEFT($H$1,3)="255",'списки групп'!AC25,IF(LEFT($H$1,3)="256",'списки групп'!AJ25,IF(LEFT($H$1,3)="257",'списки групп'!AR25,IF(LEFT($H$1,3)="258",'списки групп'!AY25,IF(LEFT($H$1,3)="259",'списки групп'!BF25,)))))))))</f>
        <v>21</v>
      </c>
      <c r="B25" s="59">
        <f>IF(LEFT($H$1,3)="251",'списки групп'!B25,IF(LEFT($H$1,3)="252",'списки групп'!I25,IF(LEFT($H$1,3)="253",'списки групп'!P25,IF(LEFT($H$1,3)="254",'списки групп'!W25,IF(LEFT($H$1,3)="255",'списки групп'!AD25,IF(LEFT($H$1,3)="256",'списки групп'!AK25,IF(LEFT($H$1,3)="257",'списки групп'!AS25,IF(LEFT($H$1,3)="258",'списки групп'!AZ25,IF(LEFT($H$1,3)="259",'списки групп'!BG25,)))))))))</f>
        <v>391</v>
      </c>
      <c r="C25" s="59">
        <f>IF(LEFT($H$1,3)="251",'списки групп'!C25,IF(LEFT($H$1,3)="252",'списки групп'!J25,IF(LEFT($H$1,3)="253",'списки групп'!Q25,IF(LEFT($H$1,3)="254",'списки групп'!X25,IF(LEFT($H$1,3)="255",'списки групп'!AE25,IF(LEFT($H$1,3)="256",'списки групп'!AL25,IF(LEFT($H$1,3)="257",'списки групп'!AT25,IF(LEFT($H$1,3)="258",'списки групп'!BA25,IF(LEFT($H$1,3)="259",'списки групп'!BH25,)))))))))</f>
        <v>2</v>
      </c>
      <c r="D25" s="59" t="str">
        <f>IF(LEFT($H$1,3)="251",'списки групп'!D25,IF(LEFT($H$1,3)="252",'списки групп'!K25,IF(LEFT($H$1,3)="253",'списки групп'!R25,IF(LEFT($H$1,3)="254",'списки групп'!Y25,IF(LEFT($H$1,3)="255",'списки групп'!AF25,IF(LEFT($H$1,3)="256",'списки групп'!AM25,IF(LEFT($H$1,3)="257",'списки групп'!AU25,IF(LEFT($H$1,3)="258",'списки групп'!BB25,IF(LEFT($H$1,3)="259",'списки групп'!BI25,)))))))))</f>
        <v>Саркисов</v>
      </c>
      <c r="E25" s="59" t="str">
        <f>IF(LEFT($H$1,3)="251",'списки групп'!E25,IF(LEFT($H$1,3)="252",'списки групп'!L25,IF(LEFT($H$1,3)="253",'списки групп'!S25,IF(LEFT($H$1,3)="254",'списки групп'!Z25,IF(LEFT($H$1,3)="255",'списки групп'!AG25,IF(LEFT($H$1,3)="256",'списки групп'!AN25,IF(LEFT($H$1,3)="257",'списки групп'!AV25,IF(LEFT($H$1,3)="258",'списки групп'!BC25,IF(LEFT($H$1,3)="259",'списки групп'!BJ25,)))))))))</f>
        <v>Даниэль</v>
      </c>
      <c r="F25" s="60"/>
      <c r="G25" s="61"/>
      <c r="H25" s="60"/>
      <c r="I25" s="61"/>
      <c r="J25" s="60"/>
      <c r="K25" s="61"/>
      <c r="L25" s="62">
        <f t="shared" si="0"/>
        <v>0</v>
      </c>
      <c r="M25" s="62">
        <f t="shared" si="1"/>
        <v>0</v>
      </c>
      <c r="N25" s="63">
        <f t="shared" si="2"/>
        <v>0</v>
      </c>
      <c r="O25" s="64"/>
      <c r="P25" s="65"/>
      <c r="Q25" s="66"/>
      <c r="R25" s="67"/>
      <c r="S25" s="68">
        <f t="shared" si="3"/>
        <v>0</v>
      </c>
      <c r="T25" s="69"/>
      <c r="U25" s="70"/>
      <c r="V25" s="70"/>
      <c r="W25" s="70"/>
      <c r="X25" s="71"/>
      <c r="Y25" s="72"/>
      <c r="Z25" s="71"/>
      <c r="AA25" s="71"/>
      <c r="AB25" s="71"/>
      <c r="AC25" s="71"/>
      <c r="AD25" s="73">
        <f t="shared" si="4"/>
        <v>0</v>
      </c>
      <c r="AE25" s="74">
        <f t="shared" si="5"/>
        <v>0</v>
      </c>
      <c r="AF25" s="75">
        <f t="shared" si="6"/>
        <v>0</v>
      </c>
      <c r="AG25" s="1"/>
      <c r="AH25" s="1"/>
      <c r="AI25" s="1"/>
      <c r="AJ25" s="1"/>
      <c r="AK25" s="1"/>
      <c r="AL25" s="1"/>
    </row>
    <row r="26" spans="1:38" ht="16.5" customHeight="1">
      <c r="A26" s="59">
        <f>IF(LEFT($H$1,3)="251",'списки групп'!A26,IF(LEFT($H$1,3)="252",'списки групп'!H26,IF(LEFT($H$1,3)="253",'списки групп'!O26,IF(LEFT($H$1,3)="254",'списки групп'!V26,IF(LEFT($H$1,3)="255",'списки групп'!AC26,IF(LEFT($H$1,3)="256",'списки групп'!AJ26,IF(LEFT($H$1,3)="257",'списки групп'!AR26,IF(LEFT($H$1,3)="258",'списки групп'!AY26,IF(LEFT($H$1,3)="259",'списки групп'!BF26,)))))))))</f>
        <v>22</v>
      </c>
      <c r="B26" s="59">
        <f>IF(LEFT($H$1,3)="251",'списки групп'!B26,IF(LEFT($H$1,3)="252",'списки групп'!I26,IF(LEFT($H$1,3)="253",'списки групп'!P26,IF(LEFT($H$1,3)="254",'списки групп'!W26,IF(LEFT($H$1,3)="255",'списки групп'!AD26,IF(LEFT($H$1,3)="256",'списки групп'!AK26,IF(LEFT($H$1,3)="257",'списки групп'!AS26,IF(LEFT($H$1,3)="258",'списки групп'!AZ26,IF(LEFT($H$1,3)="259",'списки групп'!BG26,)))))))))</f>
        <v>392</v>
      </c>
      <c r="C26" s="59">
        <f>IF(LEFT($H$1,3)="251",'списки групп'!C26,IF(LEFT($H$1,3)="252",'списки групп'!J26,IF(LEFT($H$1,3)="253",'списки групп'!Q26,IF(LEFT($H$1,3)="254",'списки групп'!X26,IF(LEFT($H$1,3)="255",'списки групп'!AE26,IF(LEFT($H$1,3)="256",'списки групп'!AL26,IF(LEFT($H$1,3)="257",'списки групп'!AT26,IF(LEFT($H$1,3)="258",'списки групп'!BA26,IF(LEFT($H$1,3)="259",'списки групп'!BH26,)))))))))</f>
        <v>2</v>
      </c>
      <c r="D26" s="59" t="str">
        <f>IF(LEFT($H$1,3)="251",'списки групп'!D26,IF(LEFT($H$1,3)="252",'списки групп'!K26,IF(LEFT($H$1,3)="253",'списки групп'!R26,IF(LEFT($H$1,3)="254",'списки групп'!Y26,IF(LEFT($H$1,3)="255",'списки групп'!AF26,IF(LEFT($H$1,3)="256",'списки групп'!AM26,IF(LEFT($H$1,3)="257",'списки групп'!AU26,IF(LEFT($H$1,3)="258",'списки групп'!BB26,IF(LEFT($H$1,3)="259",'списки групп'!BI26,)))))))))</f>
        <v>Слободян</v>
      </c>
      <c r="E26" s="59" t="str">
        <f>IF(LEFT($H$1,3)="251",'списки групп'!E26,IF(LEFT($H$1,3)="252",'списки групп'!L26,IF(LEFT($H$1,3)="253",'списки групп'!S26,IF(LEFT($H$1,3)="254",'списки групп'!Z26,IF(LEFT($H$1,3)="255",'списки групп'!AG26,IF(LEFT($H$1,3)="256",'списки групп'!AN26,IF(LEFT($H$1,3)="257",'списки групп'!AV26,IF(LEFT($H$1,3)="258",'списки групп'!BC26,IF(LEFT($H$1,3)="259",'списки групп'!BJ26,)))))))))</f>
        <v>Леонтий</v>
      </c>
      <c r="F26" s="60"/>
      <c r="G26" s="61"/>
      <c r="H26" s="60"/>
      <c r="I26" s="61"/>
      <c r="J26" s="60"/>
      <c r="K26" s="61"/>
      <c r="L26" s="62">
        <f t="shared" si="0"/>
        <v>0</v>
      </c>
      <c r="M26" s="62">
        <f t="shared" si="1"/>
        <v>0</v>
      </c>
      <c r="N26" s="63">
        <f t="shared" si="2"/>
        <v>0</v>
      </c>
      <c r="O26" s="64"/>
      <c r="P26" s="76"/>
      <c r="Q26" s="66"/>
      <c r="R26" s="67"/>
      <c r="S26" s="68">
        <f t="shared" si="3"/>
        <v>0</v>
      </c>
      <c r="T26" s="69"/>
      <c r="U26" s="77"/>
      <c r="V26" s="70"/>
      <c r="W26" s="70"/>
      <c r="X26" s="65"/>
      <c r="Y26" s="78"/>
      <c r="Z26" s="65"/>
      <c r="AA26" s="65"/>
      <c r="AB26" s="71"/>
      <c r="AC26" s="71"/>
      <c r="AD26" s="73">
        <f t="shared" si="4"/>
        <v>0</v>
      </c>
      <c r="AE26" s="74">
        <f t="shared" si="5"/>
        <v>0</v>
      </c>
      <c r="AF26" s="75">
        <f t="shared" si="6"/>
        <v>0</v>
      </c>
      <c r="AG26" s="1"/>
      <c r="AH26" s="1"/>
      <c r="AI26" s="1"/>
      <c r="AJ26" s="1"/>
      <c r="AK26" s="1"/>
      <c r="AL26" s="1"/>
    </row>
    <row r="27" spans="1:38" ht="16.5" customHeight="1">
      <c r="A27" s="59">
        <f>IF(LEFT($H$1,3)="251",'списки групп'!A27,IF(LEFT($H$1,3)="252",'списки групп'!H27,IF(LEFT($H$1,3)="253",'списки групп'!O27,IF(LEFT($H$1,3)="254",'списки групп'!V27,IF(LEFT($H$1,3)="255",'списки групп'!AC27,IF(LEFT($H$1,3)="256",'списки групп'!AJ27,IF(LEFT($H$1,3)="257",'списки групп'!AR27,IF(LEFT($H$1,3)="258",'списки групп'!AY27,IF(LEFT($H$1,3)="259",'списки групп'!BF27,)))))))))</f>
        <v>23</v>
      </c>
      <c r="B27" s="59">
        <f>IF(LEFT($H$1,3)="251",'списки групп'!B27,IF(LEFT($H$1,3)="252",'списки групп'!I27,IF(LEFT($H$1,3)="253",'списки групп'!P27,IF(LEFT($H$1,3)="254",'списки групп'!W27,IF(LEFT($H$1,3)="255",'списки групп'!AD27,IF(LEFT($H$1,3)="256",'списки групп'!AK27,IF(LEFT($H$1,3)="257",'списки групп'!AS27,IF(LEFT($H$1,3)="258",'списки групп'!AZ27,IF(LEFT($H$1,3)="259",'списки групп'!BG27,)))))))))</f>
        <v>393</v>
      </c>
      <c r="C27" s="59">
        <f>IF(LEFT($H$1,3)="251",'списки групп'!C27,IF(LEFT($H$1,3)="252",'списки групп'!J27,IF(LEFT($H$1,3)="253",'списки групп'!Q27,IF(LEFT($H$1,3)="254",'списки групп'!X27,IF(LEFT($H$1,3)="255",'списки групп'!AE27,IF(LEFT($H$1,3)="256",'списки групп'!AL27,IF(LEFT($H$1,3)="257",'списки групп'!AT27,IF(LEFT($H$1,3)="258",'списки групп'!BA27,IF(LEFT($H$1,3)="259",'списки групп'!BH27,)))))))))</f>
        <v>2</v>
      </c>
      <c r="D27" s="59" t="str">
        <f>IF(LEFT($H$1,3)="251",'списки групп'!D27,IF(LEFT($H$1,3)="252",'списки групп'!K27,IF(LEFT($H$1,3)="253",'списки групп'!R27,IF(LEFT($H$1,3)="254",'списки групп'!Y27,IF(LEFT($H$1,3)="255",'списки групп'!AF27,IF(LEFT($H$1,3)="256",'списки групп'!AM27,IF(LEFT($H$1,3)="257",'списки групп'!AU27,IF(LEFT($H$1,3)="258",'списки групп'!BB27,IF(LEFT($H$1,3)="259",'списки групп'!BI27,)))))))))</f>
        <v>Сюткина</v>
      </c>
      <c r="E27" s="59" t="str">
        <f>IF(LEFT($H$1,3)="251",'списки групп'!E27,IF(LEFT($H$1,3)="252",'списки групп'!L27,IF(LEFT($H$1,3)="253",'списки групп'!S27,IF(LEFT($H$1,3)="254",'списки групп'!Z27,IF(LEFT($H$1,3)="255",'списки групп'!AG27,IF(LEFT($H$1,3)="256",'списки групп'!AN27,IF(LEFT($H$1,3)="257",'списки групп'!AV27,IF(LEFT($H$1,3)="258",'списки групп'!BC27,IF(LEFT($H$1,3)="259",'списки групп'!BJ27,)))))))))</f>
        <v>Руслана</v>
      </c>
      <c r="F27" s="60"/>
      <c r="G27" s="61"/>
      <c r="H27" s="60"/>
      <c r="I27" s="61"/>
      <c r="J27" s="60"/>
      <c r="K27" s="61"/>
      <c r="L27" s="62">
        <f t="shared" si="0"/>
        <v>0</v>
      </c>
      <c r="M27" s="62">
        <f t="shared" si="1"/>
        <v>0</v>
      </c>
      <c r="N27" s="63">
        <f t="shared" si="2"/>
        <v>0</v>
      </c>
      <c r="O27" s="64"/>
      <c r="P27" s="65"/>
      <c r="Q27" s="66"/>
      <c r="R27" s="67"/>
      <c r="S27" s="68">
        <f t="shared" si="3"/>
        <v>0</v>
      </c>
      <c r="T27" s="69"/>
      <c r="U27" s="70"/>
      <c r="V27" s="70"/>
      <c r="W27" s="70"/>
      <c r="X27" s="71"/>
      <c r="Y27" s="72"/>
      <c r="Z27" s="71"/>
      <c r="AA27" s="71"/>
      <c r="AB27" s="71"/>
      <c r="AC27" s="71"/>
      <c r="AD27" s="73">
        <f t="shared" si="4"/>
        <v>0</v>
      </c>
      <c r="AE27" s="74">
        <f t="shared" si="5"/>
        <v>0</v>
      </c>
      <c r="AF27" s="75">
        <f t="shared" si="6"/>
        <v>0</v>
      </c>
      <c r="AG27" s="1"/>
      <c r="AH27" s="1"/>
      <c r="AI27" s="1"/>
      <c r="AJ27" s="1"/>
      <c r="AK27" s="1"/>
      <c r="AL27" s="1"/>
    </row>
    <row r="28" spans="1:38" ht="16.5" customHeight="1">
      <c r="A28" s="59">
        <f>IF(LEFT($H$1,3)="251",'списки групп'!A28,IF(LEFT($H$1,3)="252",'списки групп'!H28,IF(LEFT($H$1,3)="253",'списки групп'!O28,IF(LEFT($H$1,3)="254",'списки групп'!V28,IF(LEFT($H$1,3)="255",'списки групп'!AC28,IF(LEFT($H$1,3)="256",'списки групп'!AJ28,IF(LEFT($H$1,3)="257",'списки групп'!AR28,IF(LEFT($H$1,3)="258",'списки групп'!AY28,IF(LEFT($H$1,3)="259",'списки групп'!BF28,)))))))))</f>
        <v>24</v>
      </c>
      <c r="B28" s="59">
        <f>IF(LEFT($H$1,3)="251",'списки групп'!B28,IF(LEFT($H$1,3)="252",'списки групп'!I28,IF(LEFT($H$1,3)="253",'списки групп'!P28,IF(LEFT($H$1,3)="254",'списки групп'!W28,IF(LEFT($H$1,3)="255",'списки групп'!AD28,IF(LEFT($H$1,3)="256",'списки групп'!AK28,IF(LEFT($H$1,3)="257",'списки групп'!AS28,IF(LEFT($H$1,3)="258",'списки групп'!AZ28,IF(LEFT($H$1,3)="259",'списки групп'!BG28,)))))))))</f>
        <v>394</v>
      </c>
      <c r="C28" s="59">
        <f>IF(LEFT($H$1,3)="251",'списки групп'!C28,IF(LEFT($H$1,3)="252",'списки групп'!J28,IF(LEFT($H$1,3)="253",'списки групп'!Q28,IF(LEFT($H$1,3)="254",'списки групп'!X28,IF(LEFT($H$1,3)="255",'списки групп'!AE28,IF(LEFT($H$1,3)="256",'списки групп'!AL28,IF(LEFT($H$1,3)="257",'списки групп'!AT28,IF(LEFT($H$1,3)="258",'списки групп'!BA28,IF(LEFT($H$1,3)="259",'списки групп'!BH28,)))))))))</f>
        <v>2</v>
      </c>
      <c r="D28" s="59" t="str">
        <f>IF(LEFT($H$1,3)="251",'списки групп'!D28,IF(LEFT($H$1,3)="252",'списки групп'!K28,IF(LEFT($H$1,3)="253",'списки групп'!R28,IF(LEFT($H$1,3)="254",'списки групп'!Y28,IF(LEFT($H$1,3)="255",'списки групп'!AF28,IF(LEFT($H$1,3)="256",'списки групп'!AM28,IF(LEFT($H$1,3)="257",'списки групп'!AU28,IF(LEFT($H$1,3)="258",'списки групп'!BB28,IF(LEFT($H$1,3)="259",'списки групп'!BI28,)))))))))</f>
        <v>Уликанов</v>
      </c>
      <c r="E28" s="59" t="str">
        <f>IF(LEFT($H$1,3)="251",'списки групп'!E28,IF(LEFT($H$1,3)="252",'списки групп'!L28,IF(LEFT($H$1,3)="253",'списки групп'!S28,IF(LEFT($H$1,3)="254",'списки групп'!Z28,IF(LEFT($H$1,3)="255",'списки групп'!AG28,IF(LEFT($H$1,3)="256",'списки групп'!AN28,IF(LEFT($H$1,3)="257",'списки групп'!AV28,IF(LEFT($H$1,3)="258",'списки групп'!BC28,IF(LEFT($H$1,3)="259",'списки групп'!BJ28,)))))))))</f>
        <v>Артур</v>
      </c>
      <c r="F28" s="60"/>
      <c r="G28" s="61"/>
      <c r="H28" s="60"/>
      <c r="I28" s="61"/>
      <c r="J28" s="60"/>
      <c r="K28" s="61"/>
      <c r="L28" s="62">
        <f t="shared" si="0"/>
        <v>0</v>
      </c>
      <c r="M28" s="62">
        <f t="shared" si="1"/>
        <v>0</v>
      </c>
      <c r="N28" s="63">
        <f t="shared" si="2"/>
        <v>0</v>
      </c>
      <c r="O28" s="64"/>
      <c r="P28" s="65"/>
      <c r="Q28" s="66"/>
      <c r="R28" s="67"/>
      <c r="S28" s="68">
        <f t="shared" si="3"/>
        <v>0</v>
      </c>
      <c r="T28" s="69"/>
      <c r="U28" s="70"/>
      <c r="V28" s="70"/>
      <c r="W28" s="70"/>
      <c r="X28" s="71"/>
      <c r="Y28" s="72"/>
      <c r="Z28" s="71"/>
      <c r="AA28" s="71"/>
      <c r="AB28" s="71"/>
      <c r="AC28" s="71"/>
      <c r="AD28" s="73">
        <f t="shared" si="4"/>
        <v>0</v>
      </c>
      <c r="AE28" s="74">
        <f t="shared" si="5"/>
        <v>0</v>
      </c>
      <c r="AF28" s="75">
        <f t="shared" si="6"/>
        <v>0</v>
      </c>
      <c r="AG28" s="1"/>
      <c r="AH28" s="1"/>
      <c r="AI28" s="1"/>
      <c r="AJ28" s="1"/>
      <c r="AK28" s="1"/>
      <c r="AL28" s="1"/>
    </row>
    <row r="29" spans="1:38" ht="16.5" customHeight="1">
      <c r="A29" s="59">
        <f>IF(LEFT($H$1,3)="251",'списки групп'!A29,IF(LEFT($H$1,3)="252",'списки групп'!H29,IF(LEFT($H$1,3)="253",'списки групп'!O29,IF(LEFT($H$1,3)="254",'списки групп'!V29,IF(LEFT($H$1,3)="255",'списки групп'!AC29,IF(LEFT($H$1,3)="256",'списки групп'!AJ29,IF(LEFT($H$1,3)="257",'списки групп'!AR29,IF(LEFT($H$1,3)="258",'списки групп'!AY29,IF(LEFT($H$1,3)="259",'списки групп'!BF29,)))))))))</f>
        <v>25</v>
      </c>
      <c r="B29" s="59">
        <f>IF(LEFT($H$1,3)="251",'списки групп'!B29,IF(LEFT($H$1,3)="252",'списки групп'!I29,IF(LEFT($H$1,3)="253",'списки групп'!P29,IF(LEFT($H$1,3)="254",'списки групп'!W29,IF(LEFT($H$1,3)="255",'списки групп'!AD29,IF(LEFT($H$1,3)="256",'списки групп'!AK29,IF(LEFT($H$1,3)="257",'списки групп'!AS29,IF(LEFT($H$1,3)="258",'списки групп'!AZ29,IF(LEFT($H$1,3)="259",'списки групп'!BG29,)))))))))</f>
        <v>395</v>
      </c>
      <c r="C29" s="59">
        <f>IF(LEFT($H$1,3)="251",'списки групп'!C29,IF(LEFT($H$1,3)="252",'списки групп'!J29,IF(LEFT($H$1,3)="253",'списки групп'!Q29,IF(LEFT($H$1,3)="254",'списки групп'!X29,IF(LEFT($H$1,3)="255",'списки групп'!AE29,IF(LEFT($H$1,3)="256",'списки групп'!AL29,IF(LEFT($H$1,3)="257",'списки групп'!AT29,IF(LEFT($H$1,3)="258",'списки групп'!BA29,IF(LEFT($H$1,3)="259",'списки групп'!BH29,)))))))))</f>
        <v>2</v>
      </c>
      <c r="D29" s="59" t="str">
        <f>IF(LEFT($H$1,3)="251",'списки групп'!D29,IF(LEFT($H$1,3)="252",'списки групп'!K29,IF(LEFT($H$1,3)="253",'списки групп'!R29,IF(LEFT($H$1,3)="254",'списки групп'!Y29,IF(LEFT($H$1,3)="255",'списки групп'!AF29,IF(LEFT($H$1,3)="256",'списки групп'!AM29,IF(LEFT($H$1,3)="257",'списки групп'!AU29,IF(LEFT($H$1,3)="258",'списки групп'!BB29,IF(LEFT($H$1,3)="259",'списки групп'!BI29,)))))))))</f>
        <v>Фирсов</v>
      </c>
      <c r="E29" s="59" t="str">
        <f>IF(LEFT($H$1,3)="251",'списки групп'!E29,IF(LEFT($H$1,3)="252",'списки групп'!L29,IF(LEFT($H$1,3)="253",'списки групп'!S29,IF(LEFT($H$1,3)="254",'списки групп'!Z29,IF(LEFT($H$1,3)="255",'списки групп'!AG29,IF(LEFT($H$1,3)="256",'списки групп'!AN29,IF(LEFT($H$1,3)="257",'списки групп'!AV29,IF(LEFT($H$1,3)="258",'списки групп'!BC29,IF(LEFT($H$1,3)="259",'списки групп'!BJ29,)))))))))</f>
        <v>Александр</v>
      </c>
      <c r="F29" s="60"/>
      <c r="G29" s="61"/>
      <c r="H29" s="60"/>
      <c r="I29" s="61"/>
      <c r="J29" s="60"/>
      <c r="K29" s="61"/>
      <c r="L29" s="62">
        <f t="shared" si="0"/>
        <v>0</v>
      </c>
      <c r="M29" s="62">
        <f t="shared" si="1"/>
        <v>0</v>
      </c>
      <c r="N29" s="63">
        <f t="shared" si="2"/>
        <v>0</v>
      </c>
      <c r="O29" s="64"/>
      <c r="P29" s="65"/>
      <c r="Q29" s="66"/>
      <c r="R29" s="67"/>
      <c r="S29" s="68">
        <f t="shared" si="3"/>
        <v>0</v>
      </c>
      <c r="T29" s="69"/>
      <c r="U29" s="70"/>
      <c r="V29" s="70"/>
      <c r="W29" s="70"/>
      <c r="X29" s="71"/>
      <c r="Y29" s="72"/>
      <c r="Z29" s="71"/>
      <c r="AA29" s="71"/>
      <c r="AB29" s="71"/>
      <c r="AC29" s="71"/>
      <c r="AD29" s="73">
        <f t="shared" si="4"/>
        <v>0</v>
      </c>
      <c r="AE29" s="74">
        <f t="shared" si="5"/>
        <v>0</v>
      </c>
      <c r="AF29" s="75">
        <f t="shared" si="6"/>
        <v>0</v>
      </c>
      <c r="AG29" s="1"/>
      <c r="AH29" s="1"/>
      <c r="AI29" s="1"/>
      <c r="AJ29" s="1"/>
      <c r="AK29" s="1"/>
      <c r="AL29" s="1"/>
    </row>
    <row r="30" spans="1:38" ht="16.5" customHeight="1">
      <c r="A30" s="59">
        <f>IF(LEFT($H$1,3)="251",'списки групп'!A30,IF(LEFT($H$1,3)="252",'списки групп'!H30,IF(LEFT($H$1,3)="253",'списки групп'!O30,IF(LEFT($H$1,3)="254",'списки групп'!V30,IF(LEFT($H$1,3)="255",'списки групп'!AC30,IF(LEFT($H$1,3)="256",'списки групп'!AJ30,IF(LEFT($H$1,3)="257",'списки групп'!AR30,IF(LEFT($H$1,3)="258",'списки групп'!AY30,IF(LEFT($H$1,3)="259",'списки групп'!BF30,)))))))))</f>
        <v>26</v>
      </c>
      <c r="B30" s="59">
        <f>IF(LEFT($H$1,3)="251",'списки групп'!B30,IF(LEFT($H$1,3)="252",'списки групп'!I30,IF(LEFT($H$1,3)="253",'списки групп'!P30,IF(LEFT($H$1,3)="254",'списки групп'!W30,IF(LEFT($H$1,3)="255",'списки групп'!AD30,IF(LEFT($H$1,3)="256",'списки групп'!AK30,IF(LEFT($H$1,3)="257",'списки групп'!AS30,IF(LEFT($H$1,3)="258",'списки групп'!AZ30,IF(LEFT($H$1,3)="259",'списки групп'!BG30,)))))))))</f>
        <v>396</v>
      </c>
      <c r="C30" s="59">
        <f>IF(LEFT($H$1,3)="251",'списки групп'!C30,IF(LEFT($H$1,3)="252",'списки групп'!J30,IF(LEFT($H$1,3)="253",'списки групп'!Q30,IF(LEFT($H$1,3)="254",'списки групп'!X30,IF(LEFT($H$1,3)="255",'списки групп'!AE30,IF(LEFT($H$1,3)="256",'списки групп'!AL30,IF(LEFT($H$1,3)="257",'списки групп'!AT30,IF(LEFT($H$1,3)="258",'списки групп'!BA30,IF(LEFT($H$1,3)="259",'списки групп'!BH30,)))))))))</f>
        <v>2</v>
      </c>
      <c r="D30" s="59" t="str">
        <f>IF(LEFT($H$1,3)="251",'списки групп'!D30,IF(LEFT($H$1,3)="252",'списки групп'!K30,IF(LEFT($H$1,3)="253",'списки групп'!R30,IF(LEFT($H$1,3)="254",'списки групп'!Y30,IF(LEFT($H$1,3)="255",'списки групп'!AF30,IF(LEFT($H$1,3)="256",'списки групп'!AM30,IF(LEFT($H$1,3)="257",'списки групп'!AU30,IF(LEFT($H$1,3)="258",'списки групп'!BB30,IF(LEFT($H$1,3)="259",'списки групп'!BI30,)))))))))</f>
        <v>Цгоев</v>
      </c>
      <c r="E30" s="59" t="str">
        <f>IF(LEFT($H$1,3)="251",'списки групп'!E30,IF(LEFT($H$1,3)="252",'списки групп'!L30,IF(LEFT($H$1,3)="253",'списки групп'!S30,IF(LEFT($H$1,3)="254",'списки групп'!Z30,IF(LEFT($H$1,3)="255",'списки групп'!AG30,IF(LEFT($H$1,3)="256",'списки групп'!AN30,IF(LEFT($H$1,3)="257",'списки групп'!AV30,IF(LEFT($H$1,3)="258",'списки групп'!BC30,IF(LEFT($H$1,3)="259",'списки групп'!BJ30,)))))))))</f>
        <v>Заурбек</v>
      </c>
      <c r="F30" s="60"/>
      <c r="G30" s="61"/>
      <c r="H30" s="60"/>
      <c r="I30" s="61"/>
      <c r="J30" s="60"/>
      <c r="K30" s="61"/>
      <c r="L30" s="62">
        <f t="shared" si="0"/>
        <v>0</v>
      </c>
      <c r="M30" s="62">
        <f t="shared" si="1"/>
        <v>0</v>
      </c>
      <c r="N30" s="63">
        <f t="shared" si="2"/>
        <v>0</v>
      </c>
      <c r="O30" s="64"/>
      <c r="P30" s="65"/>
      <c r="Q30" s="66"/>
      <c r="R30" s="67"/>
      <c r="S30" s="68">
        <f t="shared" si="3"/>
        <v>0</v>
      </c>
      <c r="T30" s="69"/>
      <c r="U30" s="70"/>
      <c r="V30" s="70"/>
      <c r="W30" s="70"/>
      <c r="X30" s="71"/>
      <c r="Y30" s="72"/>
      <c r="Z30" s="71"/>
      <c r="AA30" s="71"/>
      <c r="AB30" s="71"/>
      <c r="AC30" s="71"/>
      <c r="AD30" s="73">
        <f t="shared" si="4"/>
        <v>0</v>
      </c>
      <c r="AE30" s="74">
        <f t="shared" si="5"/>
        <v>0</v>
      </c>
      <c r="AF30" s="75">
        <f t="shared" si="6"/>
        <v>0</v>
      </c>
      <c r="AG30" s="1"/>
      <c r="AH30" s="1"/>
      <c r="AI30" s="1"/>
      <c r="AJ30" s="1"/>
      <c r="AK30" s="1"/>
      <c r="AL30" s="1"/>
    </row>
    <row r="31" spans="1:38" ht="16.5" customHeight="1">
      <c r="A31" s="59">
        <f>IF(LEFT($H$1,3)="251",'списки групп'!A31,IF(LEFT($H$1,3)="252",'списки групп'!H31,IF(LEFT($H$1,3)="253",'списки групп'!O31,IF(LEFT($H$1,3)="254",'списки групп'!V31,IF(LEFT($H$1,3)="255",'списки групп'!AC31,IF(LEFT($H$1,3)="256",'списки групп'!AJ31,IF(LEFT($H$1,3)="257",'списки групп'!AR31,IF(LEFT($H$1,3)="258",'списки групп'!AY31,IF(LEFT($H$1,3)="259",'списки групп'!BF31,)))))))))</f>
        <v>27</v>
      </c>
      <c r="B31" s="59">
        <f>IF(LEFT($H$1,3)="251",'списки групп'!B31,IF(LEFT($H$1,3)="252",'списки групп'!I31,IF(LEFT($H$1,3)="253",'списки групп'!P31,IF(LEFT($H$1,3)="254",'списки групп'!W31,IF(LEFT($H$1,3)="255",'списки групп'!AD31,IF(LEFT($H$1,3)="256",'списки групп'!AK31,IF(LEFT($H$1,3)="257",'списки групп'!AS31,IF(LEFT($H$1,3)="258",'списки групп'!AZ31,IF(LEFT($H$1,3)="259",'списки групп'!BG31,)))))))))</f>
        <v>397</v>
      </c>
      <c r="C31" s="59">
        <f>IF(LEFT($H$1,3)="251",'списки групп'!C31,IF(LEFT($H$1,3)="252",'списки групп'!J31,IF(LEFT($H$1,3)="253",'списки групп'!Q31,IF(LEFT($H$1,3)="254",'списки групп'!X31,IF(LEFT($H$1,3)="255",'списки групп'!AE31,IF(LEFT($H$1,3)="256",'списки групп'!AL31,IF(LEFT($H$1,3)="257",'списки групп'!AT31,IF(LEFT($H$1,3)="258",'списки групп'!BA31,IF(LEFT($H$1,3)="259",'списки групп'!BH31,)))))))))</f>
        <v>2</v>
      </c>
      <c r="D31" s="59" t="str">
        <f>IF(LEFT($H$1,3)="251",'списки групп'!D31,IF(LEFT($H$1,3)="252",'списки групп'!K31,IF(LEFT($H$1,3)="253",'списки групп'!R31,IF(LEFT($H$1,3)="254",'списки групп'!Y31,IF(LEFT($H$1,3)="255",'списки групп'!AF31,IF(LEFT($H$1,3)="256",'списки групп'!AM31,IF(LEFT($H$1,3)="257",'списки групп'!AU31,IF(LEFT($H$1,3)="258",'списки групп'!BB31,IF(LEFT($H$1,3)="259",'списки групп'!BI31,)))))))))</f>
        <v>Шаяхметов</v>
      </c>
      <c r="E31" s="59" t="str">
        <f>IF(LEFT($H$1,3)="251",'списки групп'!E31,IF(LEFT($H$1,3)="252",'списки групп'!L31,IF(LEFT($H$1,3)="253",'списки групп'!S31,IF(LEFT($H$1,3)="254",'списки групп'!Z31,IF(LEFT($H$1,3)="255",'списки групп'!AG31,IF(LEFT($H$1,3)="256",'списки групп'!AN31,IF(LEFT($H$1,3)="257",'списки групп'!AV31,IF(LEFT($H$1,3)="258",'списки групп'!BC31,IF(LEFT($H$1,3)="259",'списки групп'!BJ31,)))))))))</f>
        <v>Булат</v>
      </c>
      <c r="F31" s="60"/>
      <c r="G31" s="61"/>
      <c r="H31" s="60"/>
      <c r="I31" s="61"/>
      <c r="J31" s="60"/>
      <c r="K31" s="61"/>
      <c r="L31" s="62">
        <f t="shared" si="0"/>
        <v>0</v>
      </c>
      <c r="M31" s="62">
        <f t="shared" si="1"/>
        <v>0</v>
      </c>
      <c r="N31" s="63">
        <f t="shared" si="2"/>
        <v>0</v>
      </c>
      <c r="O31" s="64">
        <v>2</v>
      </c>
      <c r="P31" s="65">
        <v>2</v>
      </c>
      <c r="Q31" s="66"/>
      <c r="R31" s="67">
        <v>2</v>
      </c>
      <c r="S31" s="68">
        <f t="shared" si="3"/>
        <v>13.4</v>
      </c>
      <c r="T31" s="69"/>
      <c r="U31" s="70"/>
      <c r="V31" s="70"/>
      <c r="W31" s="70"/>
      <c r="X31" s="71"/>
      <c r="Y31" s="72"/>
      <c r="Z31" s="71"/>
      <c r="AA31" s="71"/>
      <c r="AB31" s="71"/>
      <c r="AC31" s="71"/>
      <c r="AD31" s="73">
        <f t="shared" si="4"/>
        <v>0</v>
      </c>
      <c r="AE31" s="74">
        <f t="shared" si="5"/>
        <v>1.34</v>
      </c>
      <c r="AF31" s="75">
        <f t="shared" si="6"/>
        <v>1</v>
      </c>
      <c r="AG31" s="1"/>
      <c r="AH31" s="1"/>
      <c r="AI31" s="1"/>
      <c r="AJ31" s="1"/>
      <c r="AK31" s="1"/>
      <c r="AL31" s="1"/>
    </row>
    <row r="32" spans="1:38" ht="16.5" customHeight="1">
      <c r="A32" s="59">
        <f>IF(LEFT($H$1,3)="251",'списки групп'!A32,IF(LEFT($H$1,3)="252",'списки групп'!H32,IF(LEFT($H$1,3)="253",'списки групп'!O32,IF(LEFT($H$1,3)="254",'списки групп'!V32,IF(LEFT($H$1,3)="255",'списки групп'!AC32,IF(LEFT($H$1,3)="256",'списки групп'!AJ32,IF(LEFT($H$1,3)="257",'списки групп'!AR32,IF(LEFT($H$1,3)="258",'списки групп'!AY32,IF(LEFT($H$1,3)="259",'списки групп'!BF32,)))))))))</f>
        <v>28</v>
      </c>
      <c r="B32" s="59">
        <f>IF(LEFT($H$1,3)="251",'списки групп'!B32,IF(LEFT($H$1,3)="252",'списки групп'!I32,IF(LEFT($H$1,3)="253",'списки групп'!P32,IF(LEFT($H$1,3)="254",'списки групп'!W32,IF(LEFT($H$1,3)="255",'списки групп'!AD32,IF(LEFT($H$1,3)="256",'списки групп'!AK32,IF(LEFT($H$1,3)="257",'списки групп'!AS32,IF(LEFT($H$1,3)="258",'списки групп'!AZ32,IF(LEFT($H$1,3)="259",'списки групп'!BG32,)))))))))</f>
        <v>398</v>
      </c>
      <c r="C32" s="59">
        <f>IF(LEFT($H$1,3)="251",'списки групп'!C32,IF(LEFT($H$1,3)="252",'списки групп'!J32,IF(LEFT($H$1,3)="253",'списки групп'!Q32,IF(LEFT($H$1,3)="254",'списки групп'!X32,IF(LEFT($H$1,3)="255",'списки групп'!AE32,IF(LEFT($H$1,3)="256",'списки групп'!AL32,IF(LEFT($H$1,3)="257",'списки групп'!AT32,IF(LEFT($H$1,3)="258",'списки групп'!BA32,IF(LEFT($H$1,3)="259",'списки групп'!BH32,)))))))))</f>
        <v>2</v>
      </c>
      <c r="D32" s="59" t="str">
        <f>IF(LEFT($H$1,3)="251",'списки групп'!D32,IF(LEFT($H$1,3)="252",'списки групп'!K32,IF(LEFT($H$1,3)="253",'списки групп'!R32,IF(LEFT($H$1,3)="254",'списки групп'!Y32,IF(LEFT($H$1,3)="255",'списки групп'!AF32,IF(LEFT($H$1,3)="256",'списки групп'!AM32,IF(LEFT($H$1,3)="257",'списки групп'!AU32,IF(LEFT($H$1,3)="258",'списки групп'!BB32,IF(LEFT($H$1,3)="259",'списки групп'!BI32,)))))))))</f>
        <v>Шохин</v>
      </c>
      <c r="E32" s="59" t="str">
        <f>IF(LEFT($H$1,3)="251",'списки групп'!E32,IF(LEFT($H$1,3)="252",'списки групп'!L32,IF(LEFT($H$1,3)="253",'списки групп'!S32,IF(LEFT($H$1,3)="254",'списки групп'!Z32,IF(LEFT($H$1,3)="255",'списки групп'!AG32,IF(LEFT($H$1,3)="256",'списки групп'!AN32,IF(LEFT($H$1,3)="257",'списки групп'!AV32,IF(LEFT($H$1,3)="258",'списки групп'!BC32,IF(LEFT($H$1,3)="259",'списки групп'!BJ32,)))))))))</f>
        <v>Александр</v>
      </c>
      <c r="F32" s="60"/>
      <c r="G32" s="61"/>
      <c r="H32" s="60"/>
      <c r="I32" s="61"/>
      <c r="J32" s="60"/>
      <c r="K32" s="61"/>
      <c r="L32" s="62">
        <f t="shared" si="0"/>
        <v>0</v>
      </c>
      <c r="M32" s="62">
        <f t="shared" si="1"/>
        <v>0</v>
      </c>
      <c r="N32" s="63">
        <f t="shared" si="2"/>
        <v>0</v>
      </c>
      <c r="O32" s="64"/>
      <c r="P32" s="65">
        <v>2</v>
      </c>
      <c r="Q32" s="66"/>
      <c r="R32" s="67"/>
      <c r="S32" s="68">
        <f t="shared" si="3"/>
        <v>6.7</v>
      </c>
      <c r="T32" s="69"/>
      <c r="U32" s="70"/>
      <c r="V32" s="70"/>
      <c r="X32" s="71"/>
      <c r="Y32" s="72"/>
      <c r="Z32" s="71"/>
      <c r="AA32" s="71"/>
      <c r="AB32" s="71"/>
      <c r="AC32" s="71"/>
      <c r="AD32" s="73">
        <f t="shared" si="4"/>
        <v>0</v>
      </c>
      <c r="AE32" s="74">
        <f t="shared" si="5"/>
        <v>0.67</v>
      </c>
      <c r="AF32" s="75">
        <f t="shared" si="6"/>
        <v>1</v>
      </c>
      <c r="AG32" s="1"/>
      <c r="AH32" s="1"/>
      <c r="AI32" s="1"/>
      <c r="AJ32" s="1"/>
      <c r="AK32" s="1"/>
      <c r="AL32" s="1"/>
    </row>
    <row r="33" spans="1:38" ht="16.5" customHeight="1">
      <c r="A33" s="169"/>
      <c r="B33" s="170"/>
      <c r="C33" s="171"/>
      <c r="D33" s="177" t="s">
        <v>412</v>
      </c>
      <c r="E33" s="178"/>
      <c r="F33" s="79">
        <f>$G$36</f>
        <v>45931</v>
      </c>
      <c r="G33" s="80">
        <v>10</v>
      </c>
      <c r="H33" s="79">
        <f>$H$36</f>
        <v>45952</v>
      </c>
      <c r="I33" s="80">
        <v>10</v>
      </c>
      <c r="J33" s="79">
        <f>$H$36</f>
        <v>45952</v>
      </c>
      <c r="K33" s="80">
        <v>10</v>
      </c>
      <c r="L33" s="81">
        <f>IF(AND(F33&lt;&gt;"----",F33),((10-G$33)+IF(G33&lt;=G$33,G33,G$33))*IF(F33=0,0,IF(F33&lt;=G$36,$E$36,IF(F33&lt;=G$37,$E$37,IF(F33&lt;=G$38,$E$38,0))))*F$34*0.1,0)</f>
        <v>3</v>
      </c>
      <c r="M33" s="82">
        <f>IF(AND(H33&lt;&gt;"----",H33),((10-I$33)+IF(I33&lt;=$I$33,I33,I$33))*IF(H33=0,0,IF(H33&lt;=$H$36,$E$36,IF(H33&lt;=$H$37,$E$37,IF(H33&lt;=$H$38,$E$38,0))))*H$34*0.1,0)+IF(AND(J33&lt;&gt;"----",J33),((10-K$33)+IF(K33&lt;=$I$33,K33,K$33))*IF(J33=0,0,IF(J33&lt;=$H$36,$E$36,IF(J33&lt;=$H$37,$E$37,IF(J33&lt;=$H$38,$E$38,0))))*J$34*0.1,0)</f>
        <v>4</v>
      </c>
      <c r="N33" s="83">
        <f t="shared" si="2"/>
        <v>10</v>
      </c>
      <c r="O33" s="84">
        <v>2</v>
      </c>
      <c r="P33" s="85">
        <v>1</v>
      </c>
      <c r="Q33" s="85">
        <v>0</v>
      </c>
      <c r="R33" s="85">
        <v>0</v>
      </c>
      <c r="S33" s="86">
        <f>CEILING(SUM(O33:R33)*10/SUM($O$33:$R$33),0.1)</f>
        <v>10</v>
      </c>
      <c r="T33" s="87">
        <v>0</v>
      </c>
      <c r="U33" s="87">
        <v>0</v>
      </c>
      <c r="V33" s="87">
        <v>2</v>
      </c>
      <c r="W33" s="87">
        <v>3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  <c r="AC33" s="87">
        <v>0</v>
      </c>
      <c r="AD33" s="88">
        <f t="shared" si="4"/>
        <v>10</v>
      </c>
      <c r="AE33" s="74">
        <f>N33*0.7+S33*0.2+AD33*0.1</f>
        <v>10</v>
      </c>
      <c r="AF33" s="89">
        <f t="shared" si="6"/>
        <v>10</v>
      </c>
      <c r="AG33" s="1"/>
      <c r="AH33" s="1"/>
      <c r="AI33" s="1"/>
      <c r="AJ33" s="1"/>
      <c r="AK33" s="1"/>
      <c r="AL33" s="1"/>
    </row>
    <row r="34" spans="1:38" ht="16.5" customHeight="1">
      <c r="A34" s="172"/>
      <c r="B34" s="122"/>
      <c r="C34" s="173"/>
      <c r="D34" s="179" t="s">
        <v>413</v>
      </c>
      <c r="E34" s="122"/>
      <c r="F34" s="180">
        <v>3</v>
      </c>
      <c r="G34" s="181"/>
      <c r="H34" s="180">
        <v>2</v>
      </c>
      <c r="I34" s="181"/>
      <c r="J34" s="180">
        <v>2</v>
      </c>
      <c r="K34" s="181"/>
      <c r="L34" s="182" t="str">
        <f>CONCATENATE("( [0..",SUM(F34:I34),"] * 10 / ",SUM($L$33:$M$33)," ) *", )</f>
        <v>( [0..5] * 10 / 7 ) *</v>
      </c>
      <c r="M34" s="183"/>
      <c r="N34" s="90">
        <f>'Даты занятий'!C17/10</f>
        <v>0.7</v>
      </c>
      <c r="O34" s="182" t="str">
        <f>CONCATENATE("( [0..",SUM(O33:R33),"] * 10 / ",SUM($O$33:$R$33)," ) *", )</f>
        <v>( [0..3] * 10 / 3 ) *</v>
      </c>
      <c r="P34" s="184"/>
      <c r="Q34" s="183"/>
      <c r="R34" s="183"/>
      <c r="S34" s="91">
        <f>'Даты занятий'!D17/10</f>
        <v>0.1</v>
      </c>
      <c r="T34" s="182" t="str">
        <f>CONCATENATE("( [0..",SUM(T33:AC33),"] * 10 / ",SUM($T$33:$AC$33)," ) *", )</f>
        <v>( [0..5] * 10 / 5 ) *</v>
      </c>
      <c r="U34" s="183"/>
      <c r="V34" s="183"/>
      <c r="W34" s="183"/>
      <c r="X34" s="183"/>
      <c r="Y34" s="183"/>
      <c r="Z34" s="183"/>
      <c r="AA34" s="183"/>
      <c r="AB34" s="183"/>
      <c r="AC34" s="183"/>
      <c r="AD34" s="91">
        <f>'Даты занятий'!E17/10</f>
        <v>0.2</v>
      </c>
      <c r="AE34" s="74"/>
      <c r="AF34" s="92">
        <f>'Даты занятий'!C18/10</f>
        <v>0</v>
      </c>
      <c r="AG34" s="1"/>
      <c r="AH34" s="1"/>
      <c r="AI34" s="1"/>
      <c r="AJ34" s="1"/>
      <c r="AK34" s="1"/>
      <c r="AL34" s="1"/>
    </row>
    <row r="35" spans="1:38" ht="16.5" customHeight="1">
      <c r="A35" s="174"/>
      <c r="B35" s="175"/>
      <c r="C35" s="176"/>
      <c r="D35" s="185" t="s">
        <v>414</v>
      </c>
      <c r="E35" s="186"/>
      <c r="F35" s="187">
        <f>(F34/SUM($F$34:$I$34))*$N$34*10</f>
        <v>4.2</v>
      </c>
      <c r="G35" s="188"/>
      <c r="H35" s="187">
        <f>(H34/SUM($F$34:$I$34))*$N$34*10</f>
        <v>2.8</v>
      </c>
      <c r="I35" s="189"/>
      <c r="J35" s="187">
        <f>(J34/SUM($F$34:$I$34))*$N$34*10</f>
        <v>2.8</v>
      </c>
      <c r="K35" s="188"/>
      <c r="L35" s="93">
        <f>(SUM(F34)/SUM($F$34:$K$34))*$N$34*10</f>
        <v>3</v>
      </c>
      <c r="M35" s="93">
        <f>(SUM(H34:K34)/SUM($F$34:$I$34))*$N$34*10</f>
        <v>5.6</v>
      </c>
      <c r="N35" s="94"/>
      <c r="O35" s="95">
        <f>O33*10/SUM($O$33:$R$33)*$S$34</f>
        <v>0.66666666666666674</v>
      </c>
      <c r="P35" s="95">
        <f>P33*10/SUM($O$33:$R$33)*$S$34</f>
        <v>0.33333333333333337</v>
      </c>
      <c r="Q35" s="95">
        <f>Q33*10/SUM($O$33:$R$33)*$S$34</f>
        <v>0</v>
      </c>
      <c r="R35" s="95">
        <f>R33*10/SUM($O$33:$R$33)*$S$34</f>
        <v>0</v>
      </c>
      <c r="S35" s="96"/>
      <c r="T35" s="95">
        <f t="shared" ref="T35:AC35" si="7">T33*10/SUM($T$33:$AC$33)*$AD$34</f>
        <v>0</v>
      </c>
      <c r="U35" s="95">
        <f t="shared" si="7"/>
        <v>0</v>
      </c>
      <c r="V35" s="95">
        <f t="shared" si="7"/>
        <v>0.8</v>
      </c>
      <c r="W35" s="95">
        <f t="shared" si="7"/>
        <v>1.2000000000000002</v>
      </c>
      <c r="X35" s="95">
        <f t="shared" si="7"/>
        <v>0</v>
      </c>
      <c r="Y35" s="95">
        <f t="shared" si="7"/>
        <v>0</v>
      </c>
      <c r="Z35" s="95">
        <f t="shared" si="7"/>
        <v>0</v>
      </c>
      <c r="AA35" s="95">
        <f t="shared" si="7"/>
        <v>0</v>
      </c>
      <c r="AB35" s="95">
        <f t="shared" si="7"/>
        <v>0</v>
      </c>
      <c r="AC35" s="95">
        <f t="shared" si="7"/>
        <v>0</v>
      </c>
      <c r="AD35" s="97"/>
      <c r="AE35" s="98"/>
      <c r="AF35" s="99"/>
      <c r="AG35" s="100"/>
      <c r="AH35" s="100"/>
      <c r="AI35" s="100"/>
      <c r="AJ35" s="100"/>
      <c r="AK35" s="100"/>
      <c r="AL35" s="100"/>
    </row>
    <row r="36" spans="1:38" ht="16.5" customHeight="1">
      <c r="A36" s="1"/>
      <c r="B36" s="1"/>
      <c r="C36" s="1"/>
      <c r="D36" s="123">
        <v>1</v>
      </c>
      <c r="E36" s="191">
        <f>'Даты занятий'!C20</f>
        <v>1</v>
      </c>
      <c r="F36" s="192"/>
      <c r="G36" s="101">
        <f>CHOOSE(MATCH(VALUE(LEFT($H$1,3)),'Даты занятий'!$A$1:$A$9),'Даты занятий'!X$1,'Даты занятий'!X$2,'Даты занятий'!X$3,'Даты занятий'!X$4,'Даты занятий'!X$5,'Даты занятий'!X$6,'Даты занятий'!X$7,'Даты занятий'!X$8,'Даты занятий'!X$9)</f>
        <v>45931</v>
      </c>
      <c r="H36" s="102">
        <f>CHOOSE(MATCH(VALUE(LEFT($H$1,3)),'Даты занятий'!$A$1:$A$9),'Даты занятий'!Y$1,'Даты занятий'!Y$2,'Даты занятий'!Y$3,'Даты занятий'!Y$4,'Даты занятий'!Y$5, 'Даты занятий'!Y$6, 'Даты занятий'!Y$7, 'Даты занятий'!Y$8, 'Даты занятий'!Y$9)</f>
        <v>45952</v>
      </c>
      <c r="I36" s="123">
        <v>2</v>
      </c>
      <c r="J36" s="191">
        <f>'Даты занятий'!C24</f>
        <v>1</v>
      </c>
      <c r="K36" s="192"/>
      <c r="L36" s="101">
        <f>CHOOSE(MATCH(VALUE(LEFT($H$1,3)),'Даты занятий'!$A$1:$A$9),'Даты занятий'!AE$1,'Даты занятий'!AE$2,'Даты занятий'!AE$3,'Даты занятий'!AE$4,'Даты занятий'!AE$5,'Даты занятий'!AE$6,'Даты занятий'!AE$7,'Даты занятий'!AE$8,'Даты занятий'!AE$9)</f>
        <v>45929</v>
      </c>
      <c r="M36" s="101">
        <f>CHOOSE(MATCH(VALUE(LEFT($H$1,3)),'Даты занятий'!$A$1:$A$9),'Даты занятий'!AF$1,'Даты занятий'!AF$2,'Даты занятий'!AF$3,'Даты занятий'!AF$4,'Даты занятий'!AF$5,'Даты занятий'!AF$6,'Даты занятий'!AF$7,'Даты занятий'!AF$8,'Даты занятий'!AF$9)</f>
        <v>45943</v>
      </c>
      <c r="N36" s="193"/>
      <c r="O36" s="139" t="s">
        <v>415</v>
      </c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96"/>
      <c r="AD36" s="197"/>
      <c r="AE36" s="198" t="str">
        <f>CONCATENATE("Дата окончания ",'Даты занятий'!R14," модуля", )</f>
        <v>Дата окончания 1 модуля</v>
      </c>
      <c r="AF36" s="200">
        <f>'Даты занятий'!J14</f>
        <v>45956</v>
      </c>
      <c r="AG36" s="1"/>
      <c r="AH36" s="1"/>
      <c r="AI36" s="1"/>
      <c r="AJ36" s="1"/>
      <c r="AK36" s="1"/>
      <c r="AL36" s="1"/>
    </row>
    <row r="37" spans="1:38" ht="16.5" customHeight="1">
      <c r="A37" s="103" t="s">
        <v>416</v>
      </c>
      <c r="B37" s="1"/>
      <c r="C37" s="1"/>
      <c r="D37" s="123"/>
      <c r="E37" s="191">
        <f>'Даты занятий'!C21</f>
        <v>0.6</v>
      </c>
      <c r="F37" s="192"/>
      <c r="G37" s="104">
        <f>CHOOSE(MATCH(VALUE(LEFT($H$1,3)),'Даты занятий'!$A$1:$A$9),'Даты занятий'!Z$1,'Даты занятий'!Z$2,'Даты занятий'!Z$3,'Даты занятий'!Z$4,'Даты занятий'!Z$5, 'Даты занятий'!Z$6, 'Даты занятий'!Z$7, 'Даты занятий'!Z$8, 'Даты занятий'!Z$9)</f>
        <v>45938</v>
      </c>
      <c r="H37" s="105" t="str">
        <f>CHOOSE(MATCH(VALUE(LEFT($H$1,3)),'Даты занятий'!$A$1:$A$9),'Даты занятий'!AA$1,'Даты занятий'!AA$2,'Даты занятий'!AA$3,'Даты занятий'!AA$4,'Даты занятий'!AA$5, 'Даты занятий'!AA$6, 'Даты занятий'!AA$7, 'Даты занятий'!AA$8, 'Даты занятий'!AA$9)</f>
        <v>-----</v>
      </c>
      <c r="I37" s="123"/>
      <c r="J37" s="191">
        <f>'Даты занятий'!C25</f>
        <v>0.6</v>
      </c>
      <c r="K37" s="192"/>
      <c r="L37" s="104">
        <f>CHOOSE(MATCH(VALUE(LEFT($H$1,3)),'Даты занятий'!$A$1:$A$9),'Даты занятий'!AG$1,'Даты занятий'!AG$2,'Даты занятий'!AG$3,'Даты занятий'!AG$4,'Даты занятий'!AG$5, 'Даты занятий'!AG$6, 'Даты занятий'!AG$7, 'Даты занятий'!AG$8, 'Даты занятий'!AG$9)</f>
        <v>45936</v>
      </c>
      <c r="M37" s="104" t="str">
        <f>CHOOSE(MATCH(VALUE(LEFT($H$1,3)),'Даты занятий'!$A$1:$A$9),'Даты занятий'!AH$1,'Даты занятий'!AH$2,'Даты занятий'!AH$3,'Даты занятий'!AH$4,'Даты занятий'!AH$5, 'Даты занятий'!AH$6, 'Даты занятий'!AH$7, 'Даты занятий'!AH$8, 'Даты занятий'!AH$9)</f>
        <v>-----</v>
      </c>
      <c r="N37" s="194"/>
      <c r="O37" s="202" t="s">
        <v>417</v>
      </c>
      <c r="P37" s="203"/>
      <c r="Q37" s="140"/>
      <c r="R37" s="140"/>
      <c r="S37" s="204"/>
      <c r="T37" s="155" t="s">
        <v>418</v>
      </c>
      <c r="U37" s="150"/>
      <c r="V37" s="150"/>
      <c r="W37" s="150"/>
      <c r="X37" s="150"/>
      <c r="Y37" s="150"/>
      <c r="Z37" s="150"/>
      <c r="AA37" s="150"/>
      <c r="AB37" s="150"/>
      <c r="AC37" s="164"/>
      <c r="AD37" s="172"/>
      <c r="AE37" s="158"/>
      <c r="AF37" s="161"/>
      <c r="AG37" s="1"/>
      <c r="AH37" s="1"/>
      <c r="AI37" s="1"/>
      <c r="AJ37" s="1"/>
      <c r="AK37" s="1"/>
      <c r="AL37" s="1"/>
    </row>
    <row r="38" spans="1:38" ht="16.5" customHeight="1">
      <c r="A38" s="1"/>
      <c r="B38" s="1"/>
      <c r="C38" s="1"/>
      <c r="D38" s="190"/>
      <c r="E38" s="191">
        <f>'Даты занятий'!C22</f>
        <v>0.4</v>
      </c>
      <c r="F38" s="192"/>
      <c r="G38" s="106">
        <f>CHOOSE(MATCH(VALUE(LEFT($H$1,3)),'Даты занятий'!$A$1:$A$9),'Даты занятий'!AB$1,'Даты занятий'!AB$2,'Даты занятий'!AB$3,'Даты занятий'!AB$4,'Даты занятий'!AB$5, 'Даты занятий'!AB$6, 'Даты занятий'!AB$7, 'Даты занятий'!AB$8, 'Даты занятий'!AB$9)</f>
        <v>45952</v>
      </c>
      <c r="H38" s="107" t="str">
        <f>CHOOSE(MATCH(VALUE(LEFT($H$1,3)),'Даты занятий'!$A$1:$A$9),'Даты занятий'!AC$1,'Даты занятий'!AC$2,'Даты занятий'!AC$3,'Даты занятий'!AC$4,'Даты занятий'!AC$5, 'Даты занятий'!AC$6, 'Даты занятий'!AC$7, 'Даты занятий'!AC$8, 'Даты занятий'!AC$9)</f>
        <v>-----</v>
      </c>
      <c r="I38" s="123"/>
      <c r="J38" s="191">
        <f>'Даты занятий'!C26</f>
        <v>0.4</v>
      </c>
      <c r="K38" s="192"/>
      <c r="L38" s="106">
        <f>CHOOSE(MATCH(VALUE(LEFT($H$1,3)),'Даты занятий'!$A$1:$A$9),'Даты занятий'!AI$1,'Даты занятий'!AI$2,'Даты занятий'!AI$3,'Даты занятий'!AI$4,'Даты занятий'!AI$5, 'Даты занятий'!AI$6, 'Даты занятий'!AI$7, 'Даты занятий'!AI$8, 'Даты занятий'!AI$9)</f>
        <v>45943</v>
      </c>
      <c r="M38" s="106" t="str">
        <f>CHOOSE(MATCH(VALUE(LEFT($H$1,3)),'Даты занятий'!$A$1:$A$9),'Даты занятий'!AJ$1,'Даты занятий'!AJ$2,'Даты занятий'!AJ$3,'Даты занятий'!AJ$4,'Даты занятий'!AJ$5, 'Даты занятий'!AJ$6, 'Даты занятий'!AJ$7, 'Даты занятий'!AJ$8, 'Даты занятий'!AJ$9)</f>
        <v>-----</v>
      </c>
      <c r="N38" s="195"/>
      <c r="O38" s="108">
        <f ca="1">IF(TODAY()&gt;=O4,COUNTBLANK(P5:P32)+COUNTIF(P5:P32,0),"---")</f>
        <v>25</v>
      </c>
      <c r="P38" s="108" t="e">
        <f ca="1">IF(TODAY()&gt;=P4,COUNTBLANK(#REF!)+COUNTIF(#REF!,0),"---")</f>
        <v>#REF!</v>
      </c>
      <c r="Q38" s="108">
        <f ca="1">IF(TODAY()&gt;=Q4,COUNTBLANK(Q5:Q32)+COUNTIF(Q5:Q32,0),"---")</f>
        <v>26</v>
      </c>
      <c r="R38" s="109">
        <f ca="1">IF(TODAY()&gt;=R4,COUNTBLANK(R5:R32)+COUNTIF(R5:R32,0),"---")</f>
        <v>25</v>
      </c>
      <c r="S38" s="205"/>
      <c r="T38" s="109">
        <f t="shared" ref="T38:AC38" ca="1" si="8">IF(TODAY()&gt;=T4,COUNTBLANK(T5:T32)+COUNTIF(T5:T32,0),"---")</f>
        <v>28</v>
      </c>
      <c r="U38" s="109">
        <f t="shared" ca="1" si="8"/>
        <v>28</v>
      </c>
      <c r="V38" s="109" t="str">
        <f t="shared" ca="1" si="8"/>
        <v>---</v>
      </c>
      <c r="W38" s="109" t="str">
        <f t="shared" ca="1" si="8"/>
        <v>---</v>
      </c>
      <c r="X38" s="109" t="str">
        <f t="shared" ca="1" si="8"/>
        <v>---</v>
      </c>
      <c r="Y38" s="109" t="str">
        <f t="shared" ca="1" si="8"/>
        <v>---</v>
      </c>
      <c r="Z38" s="109" t="str">
        <f t="shared" ca="1" si="8"/>
        <v>---</v>
      </c>
      <c r="AA38" s="109" t="str">
        <f t="shared" ca="1" si="8"/>
        <v>---</v>
      </c>
      <c r="AB38" s="109" t="str">
        <f t="shared" ca="1" si="8"/>
        <v>---</v>
      </c>
      <c r="AC38" s="109" t="str">
        <f t="shared" ca="1" si="8"/>
        <v>---</v>
      </c>
      <c r="AD38" s="174"/>
      <c r="AE38" s="199"/>
      <c r="AF38" s="201"/>
      <c r="AG38" s="1"/>
      <c r="AH38" s="1"/>
      <c r="AI38" s="1"/>
      <c r="AJ38" s="1"/>
      <c r="AK38" s="1"/>
      <c r="AL38" s="1"/>
    </row>
    <row r="39" spans="1:38" ht="15.75" customHeight="1">
      <c r="A39" s="1"/>
      <c r="B39" s="1"/>
      <c r="C39" s="1"/>
      <c r="D39" s="206" t="s">
        <v>419</v>
      </c>
      <c r="E39" s="207"/>
      <c r="F39" s="207"/>
      <c r="G39" s="207"/>
      <c r="H39" s="207"/>
      <c r="I39" s="206" t="s">
        <v>420</v>
      </c>
      <c r="J39" s="206"/>
      <c r="K39" s="206"/>
      <c r="L39" s="206"/>
      <c r="M39" s="206"/>
      <c r="N39" s="110"/>
      <c r="O39" s="43"/>
      <c r="P39" s="43"/>
      <c r="Q39" s="43"/>
      <c r="R39" s="43"/>
      <c r="S39" s="43"/>
      <c r="T39" s="43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5.75" customHeight="1">
      <c r="A40" s="1"/>
      <c r="B40" s="1"/>
      <c r="C40" s="1"/>
      <c r="D40" s="1"/>
      <c r="E40" s="1"/>
      <c r="F40" s="111"/>
      <c r="G40" s="1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112"/>
      <c r="AF40" s="1"/>
      <c r="AG40" s="8"/>
      <c r="AH40" s="8"/>
      <c r="AI40" s="1"/>
      <c r="AJ40" s="1"/>
      <c r="AK40" s="1"/>
      <c r="AL40" s="1"/>
    </row>
    <row r="41" spans="1:38" ht="15.75" customHeight="1">
      <c r="A41" s="1"/>
      <c r="B41" s="1"/>
      <c r="C41" s="1"/>
      <c r="D41" s="1"/>
      <c r="E41" s="1"/>
      <c r="F41" s="113"/>
      <c r="G41" s="1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1"/>
      <c r="AG41" s="1"/>
      <c r="AH41" s="1"/>
      <c r="AI41" s="1"/>
      <c r="AJ41" s="1"/>
      <c r="AK41" s="1"/>
      <c r="AL41" s="1"/>
    </row>
    <row r="42" spans="1:38" ht="15.75" customHeight="1">
      <c r="A42" s="1"/>
      <c r="B42" s="1"/>
      <c r="C42" s="1"/>
      <c r="D42" s="1"/>
      <c r="E42" s="1"/>
      <c r="F42" s="114"/>
      <c r="G42" s="1"/>
      <c r="H42" s="20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1"/>
      <c r="AG42" s="1"/>
      <c r="AH42" s="1"/>
      <c r="AI42" s="1"/>
      <c r="AJ42" s="1"/>
      <c r="AK42" s="1"/>
      <c r="AL42" s="1"/>
    </row>
    <row r="43" spans="1:38" ht="15.75" customHeight="1">
      <c r="A43" s="1"/>
      <c r="B43" s="1"/>
      <c r="C43" s="1"/>
      <c r="D43" s="1"/>
      <c r="E43" s="8"/>
      <c r="F43" s="115"/>
      <c r="G43" s="1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1"/>
      <c r="AG43" s="1"/>
      <c r="AH43" s="116"/>
      <c r="AI43" s="1"/>
      <c r="AJ43" s="1"/>
      <c r="AK43" s="1"/>
      <c r="AL43" s="1"/>
    </row>
    <row r="44" spans="1:38" ht="15.75" customHeight="1">
      <c r="A44" s="1"/>
      <c r="B44" s="1"/>
      <c r="C44" s="1"/>
      <c r="D44" s="111"/>
      <c r="E44" s="1"/>
      <c r="F44" s="111"/>
      <c r="G44" s="1"/>
      <c r="H44" s="1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1"/>
      <c r="AG44" s="1"/>
      <c r="AH44" s="1"/>
      <c r="AI44" s="1"/>
      <c r="AJ44" s="1"/>
      <c r="AK44" s="1"/>
      <c r="AL44" s="1"/>
    </row>
    <row r="45" spans="1:38" ht="15.75" customHeight="1">
      <c r="A45" s="1"/>
      <c r="B45" s="1"/>
      <c r="C45" s="1"/>
      <c r="D45" s="1"/>
      <c r="E45" s="1"/>
      <c r="F45" s="117"/>
      <c r="G45" s="1"/>
      <c r="H45" s="1"/>
      <c r="I45" s="1"/>
      <c r="J45" s="1"/>
      <c r="K45" s="1"/>
      <c r="L45" s="1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1"/>
      <c r="AG45" s="1"/>
      <c r="AH45" s="1"/>
      <c r="AI45" s="1"/>
      <c r="AJ45" s="1"/>
      <c r="AK45" s="1"/>
      <c r="AL45" s="1"/>
    </row>
    <row r="46" spans="1:38" ht="15.75" customHeight="1">
      <c r="A46" s="1"/>
      <c r="B46" s="1"/>
      <c r="C46" s="1"/>
      <c r="D46" s="1"/>
      <c r="E46" s="1"/>
      <c r="F46" s="111"/>
      <c r="G46" s="1"/>
      <c r="H46" s="1"/>
      <c r="I46" s="1"/>
      <c r="J46" s="1"/>
      <c r="K46" s="1"/>
      <c r="L46" s="1"/>
      <c r="M46" s="118"/>
      <c r="N46" s="118"/>
      <c r="O46" s="118"/>
      <c r="P46" s="118"/>
      <c r="Q46" s="118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1"/>
      <c r="AG46" s="1"/>
      <c r="AH46" s="1"/>
      <c r="AI46" s="1"/>
      <c r="AJ46" s="1"/>
      <c r="AK46" s="1"/>
      <c r="AL46" s="1"/>
    </row>
    <row r="47" spans="1:38" ht="15.75" customHeight="1">
      <c r="A47" s="1"/>
      <c r="B47" s="1"/>
      <c r="C47" s="1"/>
      <c r="D47" s="1"/>
      <c r="E47" s="1"/>
      <c r="F47" s="111"/>
      <c r="G47" s="1"/>
      <c r="H47" s="1"/>
      <c r="I47" s="1"/>
      <c r="J47" s="1"/>
      <c r="K47" s="1"/>
      <c r="L47" s="1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1"/>
      <c r="AG47" s="1"/>
      <c r="AH47" s="1"/>
      <c r="AI47" s="1"/>
      <c r="AJ47" s="1"/>
      <c r="AK47" s="1"/>
      <c r="AL47" s="1"/>
    </row>
    <row r="48" spans="1:38" ht="15.75" customHeight="1">
      <c r="A48" s="1"/>
      <c r="B48" s="1"/>
      <c r="C48" s="1"/>
      <c r="D48" s="1"/>
      <c r="E48" s="1"/>
      <c r="F48" s="111"/>
      <c r="G48" s="1"/>
      <c r="H48" s="1"/>
      <c r="I48" s="1"/>
      <c r="J48" s="1"/>
      <c r="K48" s="1"/>
      <c r="L48" s="1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1"/>
      <c r="AG48" s="1"/>
      <c r="AH48" s="1"/>
      <c r="AI48" s="1"/>
      <c r="AJ48" s="1"/>
      <c r="AK48" s="1"/>
      <c r="AL48" s="1"/>
    </row>
    <row r="49" spans="1:38" ht="15.75" customHeight="1">
      <c r="A49" s="1"/>
      <c r="B49" s="1"/>
      <c r="C49" s="1"/>
      <c r="D49" s="1"/>
      <c r="E49" s="1"/>
      <c r="F49" s="111"/>
      <c r="G49" s="1"/>
      <c r="H49" s="1"/>
      <c r="I49" s="1"/>
      <c r="J49" s="1"/>
      <c r="K49" s="1"/>
      <c r="L49" s="1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1"/>
      <c r="AG49" s="1"/>
      <c r="AH49" s="1"/>
      <c r="AI49" s="1"/>
      <c r="AJ49" s="1"/>
      <c r="AK49" s="1"/>
      <c r="AL49" s="1"/>
    </row>
    <row r="50" spans="1:38" ht="15.75" customHeight="1">
      <c r="A50" s="1"/>
      <c r="B50" s="1"/>
      <c r="C50" s="1"/>
      <c r="D50" s="1"/>
      <c r="E50" s="1"/>
      <c r="F50" s="111"/>
      <c r="G50" s="1"/>
      <c r="H50" s="1"/>
      <c r="I50" s="1"/>
      <c r="J50" s="1"/>
      <c r="K50" s="1"/>
      <c r="L50" s="1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1"/>
      <c r="AG50" s="1"/>
      <c r="AH50" s="1"/>
      <c r="AI50" s="1"/>
      <c r="AJ50" s="1"/>
      <c r="AK50" s="1"/>
      <c r="AL50" s="1"/>
    </row>
    <row r="51" spans="1:38" ht="15.75" customHeight="1">
      <c r="A51" s="1"/>
      <c r="B51" s="1"/>
      <c r="C51" s="1"/>
      <c r="D51" s="1"/>
      <c r="E51" s="1"/>
      <c r="F51" s="111"/>
      <c r="G51" s="1"/>
      <c r="H51" s="1"/>
      <c r="I51" s="1"/>
      <c r="J51" s="1"/>
      <c r="K51" s="1"/>
      <c r="L51" s="1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1"/>
      <c r="AG51" s="1"/>
      <c r="AH51" s="1"/>
      <c r="AI51" s="1"/>
      <c r="AJ51" s="1"/>
      <c r="AK51" s="1"/>
      <c r="AL51" s="1"/>
    </row>
    <row r="52" spans="1:38" ht="15.75" customHeight="1">
      <c r="A52" s="1"/>
      <c r="B52" s="1"/>
      <c r="C52" s="1"/>
      <c r="D52" s="1"/>
      <c r="E52" s="1"/>
      <c r="F52" s="111"/>
      <c r="G52" s="1"/>
      <c r="H52" s="1"/>
      <c r="I52" s="1"/>
      <c r="J52" s="1"/>
      <c r="K52" s="1"/>
      <c r="L52" s="1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1"/>
      <c r="AG52" s="1"/>
      <c r="AH52" s="1"/>
      <c r="AI52" s="1"/>
      <c r="AJ52" s="1"/>
      <c r="AK52" s="1"/>
      <c r="AL52" s="1"/>
    </row>
    <row r="53" spans="1:38" ht="15" customHeight="1">
      <c r="A53" s="1"/>
      <c r="B53" s="1"/>
      <c r="C53" s="1"/>
      <c r="D53" s="1"/>
      <c r="E53" s="1"/>
      <c r="F53" s="111"/>
      <c r="G53" s="1"/>
      <c r="H53" s="1"/>
      <c r="I53" s="1"/>
      <c r="J53" s="1"/>
      <c r="K53" s="1"/>
      <c r="L53" s="1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1"/>
      <c r="AG53" s="1"/>
      <c r="AH53" s="1"/>
      <c r="AI53" s="1"/>
      <c r="AJ53" s="1"/>
      <c r="AK53" s="1"/>
      <c r="AL53" s="1"/>
    </row>
    <row r="54" spans="1:38" ht="15" customHeight="1">
      <c r="A54" s="1"/>
      <c r="B54" s="1"/>
      <c r="C54" s="1"/>
      <c r="D54" s="1"/>
      <c r="E54" s="1"/>
      <c r="F54" s="111"/>
      <c r="G54" s="1"/>
      <c r="H54" s="1"/>
      <c r="I54" s="1"/>
      <c r="J54" s="1"/>
      <c r="K54" s="1"/>
      <c r="L54" s="1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1"/>
      <c r="AG54" s="1"/>
      <c r="AH54" s="1"/>
      <c r="AI54" s="1"/>
      <c r="AJ54" s="1"/>
      <c r="AK54" s="1"/>
      <c r="AL54" s="1"/>
    </row>
    <row r="55" spans="1:38" ht="15" customHeight="1">
      <c r="A55" s="1"/>
      <c r="B55" s="1"/>
      <c r="C55" s="1"/>
      <c r="D55" s="1"/>
      <c r="E55" s="1"/>
      <c r="F55" s="111"/>
      <c r="G55" s="1"/>
      <c r="H55" s="1"/>
      <c r="I55" s="1"/>
      <c r="J55" s="1"/>
      <c r="K55" s="1"/>
      <c r="L55" s="1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1"/>
      <c r="AG55" s="1"/>
      <c r="AH55" s="1"/>
      <c r="AI55" s="1"/>
      <c r="AJ55" s="1"/>
      <c r="AK55" s="1"/>
      <c r="AL55" s="1"/>
    </row>
    <row r="56" spans="1:38" ht="15" customHeight="1">
      <c r="A56" s="1"/>
      <c r="B56" s="1"/>
      <c r="C56" s="1"/>
      <c r="D56" s="1"/>
      <c r="E56" s="1"/>
      <c r="F56" s="111"/>
      <c r="G56" s="1"/>
      <c r="H56" s="1"/>
      <c r="I56" s="1"/>
      <c r="J56" s="1"/>
      <c r="K56" s="1"/>
      <c r="L56" s="1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1"/>
      <c r="AG56" s="1"/>
      <c r="AH56" s="1"/>
      <c r="AI56" s="1"/>
      <c r="AJ56" s="1"/>
      <c r="AK56" s="1"/>
      <c r="AL56" s="1"/>
    </row>
    <row r="57" spans="1:38" ht="15" customHeight="1">
      <c r="A57" s="1"/>
      <c r="B57" s="1"/>
      <c r="C57" s="1"/>
      <c r="D57" s="1"/>
      <c r="E57" s="1"/>
      <c r="F57" s="111"/>
      <c r="G57" s="1"/>
      <c r="H57" s="1"/>
      <c r="I57" s="1"/>
      <c r="J57" s="1"/>
      <c r="K57" s="1"/>
      <c r="L57" s="1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1"/>
      <c r="C58" s="1"/>
      <c r="D58" s="1"/>
      <c r="E58" s="1"/>
      <c r="F58" s="111"/>
      <c r="G58" s="1"/>
      <c r="H58" s="1"/>
      <c r="I58" s="1"/>
      <c r="J58" s="1"/>
      <c r="K58" s="1"/>
      <c r="L58" s="1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11"/>
      <c r="G59" s="1"/>
      <c r="H59" s="1"/>
      <c r="I59" s="1"/>
      <c r="J59" s="1"/>
      <c r="K59" s="1"/>
      <c r="L59" s="1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"/>
      <c r="D60" s="1"/>
      <c r="E60" s="1"/>
      <c r="F60" s="111"/>
      <c r="G60" s="1"/>
      <c r="H60" s="1"/>
      <c r="I60" s="1"/>
      <c r="J60" s="1"/>
      <c r="K60" s="1"/>
      <c r="L60" s="1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1"/>
      <c r="AG60" s="1"/>
      <c r="AH60" s="1"/>
      <c r="AI60" s="1"/>
      <c r="AJ60" s="1"/>
      <c r="AK60" s="1"/>
      <c r="AL60" s="1"/>
    </row>
    <row r="61" spans="1:38" ht="15" customHeight="1">
      <c r="A61" s="1"/>
      <c r="B61" s="1"/>
      <c r="C61" s="1"/>
      <c r="D61" s="1"/>
      <c r="E61" s="1"/>
      <c r="F61" s="111"/>
      <c r="G61" s="1"/>
      <c r="H61" s="1"/>
      <c r="I61" s="1"/>
      <c r="J61" s="1"/>
      <c r="K61" s="1"/>
      <c r="L61" s="1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1"/>
      <c r="AG61" s="1"/>
      <c r="AH61" s="1"/>
      <c r="AI61" s="1"/>
      <c r="AJ61" s="1"/>
      <c r="AK61" s="1"/>
      <c r="AL61" s="1"/>
    </row>
    <row r="62" spans="1:38" ht="15" customHeight="1">
      <c r="A62" s="1"/>
      <c r="B62" s="1"/>
      <c r="C62" s="1"/>
      <c r="D62" s="1"/>
      <c r="E62" s="1"/>
      <c r="F62" s="111"/>
      <c r="G62" s="1"/>
      <c r="H62" s="1"/>
      <c r="I62" s="1"/>
      <c r="J62" s="1"/>
      <c r="K62" s="1"/>
      <c r="L62" s="1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1"/>
      <c r="AG62" s="1"/>
      <c r="AH62" s="1"/>
      <c r="AI62" s="1"/>
      <c r="AJ62" s="1"/>
      <c r="AK62" s="1"/>
      <c r="AL62" s="1"/>
    </row>
    <row r="63" spans="1:38" ht="15" customHeight="1">
      <c r="A63" s="1"/>
      <c r="B63" s="1"/>
      <c r="C63" s="1"/>
      <c r="D63" s="1"/>
      <c r="E63" s="1"/>
      <c r="F63" s="111"/>
      <c r="G63" s="1"/>
      <c r="H63" s="1"/>
      <c r="I63" s="1"/>
      <c r="J63" s="1"/>
      <c r="K63" s="1"/>
      <c r="L63" s="1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1"/>
      <c r="E64" s="1"/>
      <c r="F64" s="111"/>
      <c r="G64" s="1"/>
      <c r="H64" s="1"/>
      <c r="I64" s="1"/>
      <c r="J64" s="1"/>
      <c r="K64" s="1"/>
      <c r="L64" s="1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1"/>
      <c r="AG64" s="1"/>
      <c r="AH64" s="1"/>
      <c r="AI64" s="1"/>
      <c r="AJ64" s="1"/>
      <c r="AK64" s="1"/>
      <c r="AL64" s="1"/>
    </row>
    <row r="65" spans="1:38" ht="15" customHeight="1">
      <c r="A65" s="1"/>
      <c r="B65" s="1"/>
      <c r="C65" s="1"/>
      <c r="D65" s="1"/>
      <c r="E65" s="1"/>
      <c r="F65" s="111"/>
      <c r="G65" s="1"/>
      <c r="H65" s="1"/>
      <c r="I65" s="1"/>
      <c r="J65" s="1"/>
      <c r="K65" s="1"/>
      <c r="L65" s="1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1"/>
      <c r="AG65" s="1"/>
      <c r="AH65" s="1"/>
      <c r="AI65" s="1"/>
      <c r="AJ65" s="1"/>
      <c r="AK65" s="1"/>
      <c r="AL65" s="1"/>
    </row>
    <row r="66" spans="1:38" ht="15" customHeight="1">
      <c r="A66" s="1"/>
      <c r="B66" s="1"/>
      <c r="C66" s="1"/>
      <c r="D66" s="1"/>
      <c r="E66" s="1"/>
      <c r="F66" s="111"/>
      <c r="G66" s="1"/>
      <c r="H66" s="1"/>
      <c r="I66" s="1"/>
      <c r="J66" s="1"/>
      <c r="K66" s="1"/>
      <c r="L66" s="1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1"/>
      <c r="AG66" s="1"/>
      <c r="AH66" s="1"/>
      <c r="AI66" s="1"/>
      <c r="AJ66" s="1"/>
      <c r="AK66" s="1"/>
      <c r="AL66" s="1"/>
    </row>
    <row r="67" spans="1:38" ht="15" customHeight="1">
      <c r="A67" s="1"/>
      <c r="B67" s="1"/>
      <c r="C67" s="1"/>
      <c r="D67" s="1"/>
      <c r="E67" s="1"/>
      <c r="F67" s="111"/>
      <c r="G67" s="1"/>
      <c r="H67" s="1"/>
      <c r="I67" s="1"/>
      <c r="J67" s="1"/>
      <c r="K67" s="1"/>
      <c r="L67" s="1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1"/>
      <c r="E68" s="1"/>
      <c r="F68" s="111"/>
      <c r="G68" s="1"/>
      <c r="H68" s="1"/>
      <c r="I68" s="1"/>
      <c r="J68" s="1"/>
      <c r="K68" s="1"/>
      <c r="L68" s="1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1"/>
      <c r="AG68" s="1"/>
      <c r="AH68" s="1"/>
      <c r="AI68" s="1"/>
      <c r="AJ68" s="1"/>
      <c r="AK68" s="1"/>
      <c r="AL68" s="1"/>
    </row>
    <row r="69" spans="1:38" ht="15" customHeight="1">
      <c r="A69" s="1"/>
      <c r="B69" s="1"/>
      <c r="C69" s="1"/>
      <c r="D69" s="1"/>
      <c r="E69" s="1"/>
      <c r="F69" s="111"/>
      <c r="G69" s="1"/>
      <c r="H69" s="1"/>
      <c r="I69" s="1"/>
      <c r="J69" s="1"/>
      <c r="K69" s="1"/>
      <c r="L69" s="1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1"/>
      <c r="AG69" s="1"/>
      <c r="AH69" s="1"/>
      <c r="AI69" s="1"/>
      <c r="AJ69" s="1"/>
      <c r="AK69" s="1"/>
      <c r="AL69" s="1"/>
    </row>
    <row r="70" spans="1:38" ht="15" customHeight="1">
      <c r="A70" s="1"/>
      <c r="B70" s="1"/>
      <c r="C70" s="1"/>
      <c r="D70" s="1"/>
      <c r="E70" s="1"/>
      <c r="F70" s="111"/>
      <c r="G70" s="1"/>
      <c r="H70" s="1"/>
      <c r="I70" s="1"/>
      <c r="J70" s="1"/>
      <c r="K70" s="1"/>
      <c r="L70" s="1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1"/>
      <c r="AG70" s="1"/>
      <c r="AH70" s="1"/>
      <c r="AI70" s="1"/>
      <c r="AJ70" s="1"/>
      <c r="AK70" s="1"/>
      <c r="AL70" s="1"/>
    </row>
    <row r="71" spans="1:38" ht="15" customHeight="1">
      <c r="A71" s="1"/>
      <c r="B71" s="1"/>
      <c r="C71" s="1"/>
      <c r="D71" s="1"/>
      <c r="E71" s="1"/>
      <c r="F71" s="111"/>
      <c r="G71" s="1"/>
      <c r="H71" s="1"/>
      <c r="I71" s="1"/>
      <c r="J71" s="1"/>
      <c r="K71" s="1"/>
      <c r="L71" s="1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1"/>
      <c r="AG71" s="1"/>
      <c r="AH71" s="1"/>
      <c r="AI71" s="1"/>
      <c r="AJ71" s="1"/>
      <c r="AK71" s="1"/>
      <c r="AL71" s="1"/>
    </row>
    <row r="72" spans="1:38" ht="15" customHeight="1">
      <c r="A72" s="1"/>
      <c r="B72" s="1"/>
      <c r="C72" s="1"/>
      <c r="D72" s="1"/>
      <c r="E72" s="1"/>
      <c r="F72" s="111"/>
      <c r="G72" s="1"/>
      <c r="H72" s="1"/>
      <c r="I72" s="1"/>
      <c r="J72" s="1"/>
      <c r="K72" s="1"/>
      <c r="L72" s="1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1"/>
      <c r="AG72" s="1"/>
      <c r="AH72" s="1"/>
      <c r="AI72" s="1"/>
      <c r="AJ72" s="1"/>
      <c r="AK72" s="1"/>
      <c r="AL72" s="1"/>
    </row>
    <row r="73" spans="1:38" ht="15" customHeight="1">
      <c r="A73" s="1"/>
      <c r="B73" s="1"/>
      <c r="C73" s="1"/>
      <c r="D73" s="1"/>
      <c r="E73" s="1"/>
      <c r="F73" s="111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1"/>
      <c r="AG73" s="1"/>
      <c r="AH73" s="1"/>
      <c r="AI73" s="1"/>
      <c r="AJ73" s="1"/>
      <c r="AK73" s="1"/>
      <c r="AL73" s="1"/>
    </row>
    <row r="74" spans="1:38" ht="15" customHeight="1">
      <c r="A74" s="1"/>
      <c r="B74" s="1"/>
      <c r="C74" s="1"/>
      <c r="D74" s="1"/>
      <c r="E74" s="1"/>
      <c r="F74" s="111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1"/>
      <c r="AG74" s="1"/>
      <c r="AH74" s="1"/>
      <c r="AI74" s="1"/>
      <c r="AJ74" s="1"/>
      <c r="AK74" s="1"/>
      <c r="AL74" s="1"/>
    </row>
    <row r="75" spans="1:38" ht="15" customHeight="1">
      <c r="A75" s="1"/>
      <c r="B75" s="1"/>
      <c r="C75" s="1"/>
      <c r="D75" s="1"/>
      <c r="E75" s="1"/>
      <c r="F75" s="111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1"/>
      <c r="AG75" s="1"/>
      <c r="AH75" s="1"/>
      <c r="AI75" s="1"/>
      <c r="AJ75" s="1"/>
      <c r="AK75" s="1"/>
      <c r="AL75" s="1"/>
    </row>
    <row r="76" spans="1:38" ht="15" customHeight="1">
      <c r="A76" s="1"/>
      <c r="B76" s="1"/>
      <c r="C76" s="1"/>
      <c r="D76" s="1"/>
      <c r="E76" s="1"/>
      <c r="F76" s="111"/>
      <c r="G76" s="1"/>
      <c r="H76" s="1"/>
      <c r="I76" s="1"/>
      <c r="J76" s="1"/>
      <c r="K76" s="1"/>
      <c r="L76" s="1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"/>
      <c r="F77" s="111"/>
      <c r="G77" s="1"/>
      <c r="H77" s="1"/>
      <c r="I77" s="1"/>
      <c r="J77" s="1"/>
      <c r="K77" s="1"/>
      <c r="L77" s="1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1"/>
      <c r="AG77" s="1"/>
      <c r="AH77" s="1"/>
      <c r="AI77" s="1"/>
      <c r="AJ77" s="1"/>
      <c r="AK77" s="1"/>
      <c r="AL77" s="1"/>
    </row>
    <row r="78" spans="1:38" ht="15" customHeight="1">
      <c r="A78" s="1"/>
      <c r="B78" s="1"/>
      <c r="C78" s="1"/>
      <c r="D78" s="1"/>
      <c r="E78" s="1"/>
      <c r="F78" s="111"/>
      <c r="G78" s="1"/>
      <c r="H78" s="1"/>
      <c r="I78" s="1"/>
      <c r="J78" s="1"/>
      <c r="K78" s="1"/>
      <c r="L78" s="1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1"/>
      <c r="AG78" s="1"/>
      <c r="AH78" s="1"/>
      <c r="AI78" s="1"/>
      <c r="AJ78" s="1"/>
      <c r="AK78" s="1"/>
      <c r="AL78" s="1"/>
    </row>
    <row r="79" spans="1:38" ht="15" customHeight="1">
      <c r="A79" s="1"/>
      <c r="B79" s="1"/>
      <c r="C79" s="1"/>
      <c r="D79" s="1"/>
      <c r="E79" s="1"/>
      <c r="F79" s="111"/>
      <c r="G79" s="1"/>
      <c r="H79" s="1"/>
      <c r="I79" s="1"/>
      <c r="J79" s="1"/>
      <c r="K79" s="1"/>
      <c r="L79" s="1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1"/>
      <c r="AG79" s="1"/>
      <c r="AH79" s="1"/>
      <c r="AI79" s="1"/>
      <c r="AJ79" s="1"/>
      <c r="AK79" s="1"/>
      <c r="AL79" s="1"/>
    </row>
    <row r="80" spans="1:38" ht="15" customHeight="1">
      <c r="A80" s="1"/>
      <c r="B80" s="1"/>
      <c r="C80" s="1"/>
      <c r="D80" s="1"/>
      <c r="E80" s="1"/>
      <c r="F80" s="111"/>
      <c r="G80" s="1"/>
      <c r="H80" s="1"/>
      <c r="I80" s="1"/>
      <c r="J80" s="1"/>
      <c r="K80" s="1"/>
      <c r="L80" s="1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1"/>
      <c r="AG80" s="1"/>
      <c r="AH80" s="1"/>
      <c r="AI80" s="1"/>
      <c r="AJ80" s="1"/>
      <c r="AK80" s="1"/>
      <c r="AL80" s="1"/>
    </row>
    <row r="81" spans="1:38" ht="15" customHeight="1">
      <c r="A81" s="1"/>
      <c r="B81" s="1"/>
      <c r="C81" s="1"/>
      <c r="D81" s="1"/>
      <c r="E81" s="1"/>
      <c r="F81" s="111"/>
      <c r="G81" s="1"/>
      <c r="H81" s="1"/>
      <c r="I81" s="1"/>
      <c r="J81" s="1"/>
      <c r="K81" s="1"/>
      <c r="L81" s="1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1"/>
      <c r="AG81" s="1"/>
      <c r="AH81" s="1"/>
      <c r="AI81" s="1"/>
      <c r="AJ81" s="1"/>
      <c r="AK81" s="1"/>
      <c r="AL81" s="1"/>
    </row>
    <row r="82" spans="1:38" ht="15" customHeight="1">
      <c r="A82" s="1"/>
      <c r="B82" s="1"/>
      <c r="C82" s="1"/>
      <c r="D82" s="1"/>
      <c r="E82" s="1"/>
      <c r="F82" s="111"/>
      <c r="G82" s="1"/>
      <c r="H82" s="1"/>
      <c r="I82" s="1"/>
      <c r="J82" s="1"/>
      <c r="K82" s="1"/>
      <c r="L82" s="1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1"/>
      <c r="AG82" s="1"/>
      <c r="AH82" s="1"/>
      <c r="AI82" s="1"/>
      <c r="AJ82" s="1"/>
      <c r="AK82" s="1"/>
      <c r="AL82" s="1"/>
    </row>
    <row r="83" spans="1:38" ht="15" customHeight="1">
      <c r="A83" s="1"/>
      <c r="B83" s="1"/>
      <c r="C83" s="1"/>
      <c r="D83" s="1"/>
      <c r="E83" s="1"/>
      <c r="F83" s="111"/>
      <c r="G83" s="1"/>
      <c r="H83" s="1"/>
      <c r="I83" s="1"/>
      <c r="J83" s="1"/>
      <c r="K83" s="1"/>
      <c r="L83" s="1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1"/>
      <c r="AG83" s="1"/>
      <c r="AH83" s="1"/>
      <c r="AI83" s="1"/>
      <c r="AJ83" s="1"/>
      <c r="AK83" s="1"/>
      <c r="AL83" s="1"/>
    </row>
    <row r="84" spans="1:38" ht="15" customHeight="1">
      <c r="A84" s="1"/>
      <c r="B84" s="1"/>
      <c r="C84" s="1"/>
      <c r="D84" s="1"/>
      <c r="E84" s="1"/>
      <c r="F84" s="111"/>
      <c r="G84" s="1"/>
      <c r="H84" s="1"/>
      <c r="I84" s="1"/>
      <c r="J84" s="1"/>
      <c r="K84" s="1"/>
      <c r="L84" s="1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1"/>
      <c r="AG84" s="1"/>
      <c r="AH84" s="1"/>
      <c r="AI84" s="1"/>
      <c r="AJ84" s="1"/>
      <c r="AK84" s="1"/>
      <c r="AL84" s="1"/>
    </row>
    <row r="85" spans="1:38" ht="15" customHeight="1">
      <c r="A85" s="1"/>
      <c r="B85" s="1"/>
      <c r="C85" s="1"/>
      <c r="D85" s="1"/>
      <c r="E85" s="1"/>
      <c r="F85" s="111"/>
      <c r="G85" s="1"/>
      <c r="H85" s="1"/>
      <c r="I85" s="1"/>
      <c r="J85" s="1"/>
      <c r="K85" s="1"/>
      <c r="L85" s="1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1"/>
      <c r="E86" s="1"/>
      <c r="F86" s="111"/>
      <c r="G86" s="1"/>
      <c r="H86" s="1"/>
      <c r="I86" s="1"/>
      <c r="J86" s="1"/>
      <c r="K86" s="1"/>
      <c r="L86" s="1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1"/>
      <c r="AG86" s="1"/>
      <c r="AH86" s="1"/>
      <c r="AI86" s="1"/>
      <c r="AJ86" s="1"/>
      <c r="AK86" s="1"/>
      <c r="AL86" s="1"/>
    </row>
    <row r="87" spans="1:38" ht="15" customHeight="1">
      <c r="A87" s="1"/>
      <c r="B87" s="1"/>
      <c r="C87" s="1"/>
      <c r="D87" s="1"/>
      <c r="E87" s="1"/>
      <c r="F87" s="111"/>
      <c r="G87" s="1"/>
      <c r="H87" s="1"/>
      <c r="I87" s="1"/>
      <c r="J87" s="1"/>
      <c r="K87" s="1"/>
      <c r="L87" s="1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1"/>
      <c r="AG87" s="1"/>
      <c r="AH87" s="1"/>
      <c r="AI87" s="1"/>
      <c r="AJ87" s="1"/>
      <c r="AK87" s="1"/>
      <c r="AL87" s="1"/>
    </row>
    <row r="88" spans="1:38" ht="15" customHeight="1">
      <c r="A88" s="1"/>
      <c r="B88" s="1"/>
      <c r="C88" s="1"/>
      <c r="D88" s="1"/>
      <c r="E88" s="1"/>
      <c r="F88" s="111"/>
      <c r="G88" s="1"/>
      <c r="H88" s="1"/>
      <c r="I88" s="1"/>
      <c r="J88" s="1"/>
      <c r="K88" s="1"/>
      <c r="L88" s="1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1"/>
      <c r="AG88" s="1"/>
      <c r="AH88" s="1"/>
      <c r="AI88" s="1"/>
      <c r="AJ88" s="1"/>
      <c r="AK88" s="1"/>
      <c r="AL88" s="1"/>
    </row>
    <row r="89" spans="1:38" ht="15" customHeight="1">
      <c r="A89" s="1"/>
      <c r="B89" s="1"/>
      <c r="C89" s="1"/>
      <c r="D89" s="1"/>
      <c r="E89" s="1"/>
      <c r="F89" s="111"/>
      <c r="G89" s="1"/>
      <c r="H89" s="1"/>
      <c r="I89" s="1"/>
      <c r="J89" s="1"/>
      <c r="K89" s="1"/>
      <c r="L89" s="1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1"/>
      <c r="E90" s="1"/>
      <c r="F90" s="111"/>
      <c r="G90" s="1"/>
      <c r="H90" s="1"/>
      <c r="I90" s="1"/>
      <c r="J90" s="1"/>
      <c r="K90" s="1"/>
      <c r="L90" s="1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1"/>
      <c r="AG90" s="1"/>
      <c r="AH90" s="1"/>
      <c r="AI90" s="1"/>
      <c r="AJ90" s="1"/>
      <c r="AK90" s="1"/>
      <c r="AL90" s="1"/>
    </row>
    <row r="91" spans="1:38" ht="15" customHeight="1">
      <c r="A91" s="1"/>
      <c r="B91" s="1"/>
      <c r="C91" s="1"/>
      <c r="D91" s="1"/>
      <c r="E91" s="1"/>
      <c r="F91" s="111"/>
      <c r="G91" s="1"/>
      <c r="H91" s="1"/>
      <c r="I91" s="1"/>
      <c r="J91" s="1"/>
      <c r="K91" s="1"/>
      <c r="L91" s="1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1"/>
      <c r="AG91" s="1"/>
      <c r="AH91" s="1"/>
      <c r="AI91" s="1"/>
      <c r="AJ91" s="1"/>
      <c r="AK91" s="1"/>
      <c r="AL91" s="1"/>
    </row>
    <row r="92" spans="1:38" ht="15" customHeight="1">
      <c r="A92" s="1"/>
      <c r="B92" s="1"/>
      <c r="C92" s="1"/>
      <c r="D92" s="1"/>
      <c r="E92" s="1"/>
      <c r="F92" s="111"/>
      <c r="G92" s="1"/>
      <c r="H92" s="1"/>
      <c r="I92" s="1"/>
      <c r="J92" s="1"/>
      <c r="K92" s="1"/>
      <c r="L92" s="1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1"/>
      <c r="AG92" s="1"/>
      <c r="AH92" s="1"/>
      <c r="AI92" s="1"/>
      <c r="AJ92" s="1"/>
      <c r="AK92" s="1"/>
      <c r="AL92" s="1"/>
    </row>
    <row r="93" spans="1:38" ht="15" customHeight="1">
      <c r="A93" s="1"/>
      <c r="B93" s="1"/>
      <c r="C93" s="1"/>
      <c r="D93" s="1"/>
      <c r="E93" s="1"/>
      <c r="F93" s="111"/>
      <c r="G93" s="1"/>
      <c r="H93" s="1"/>
      <c r="I93" s="1"/>
      <c r="J93" s="1"/>
      <c r="K93" s="1"/>
      <c r="L93" s="1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1"/>
      <c r="E94" s="1"/>
      <c r="F94" s="111"/>
      <c r="G94" s="1"/>
      <c r="H94" s="1"/>
      <c r="I94" s="1"/>
      <c r="J94" s="1"/>
      <c r="K94" s="1"/>
      <c r="L94" s="1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1"/>
      <c r="E95" s="1"/>
      <c r="F95" s="111"/>
      <c r="G95" s="1"/>
      <c r="H95" s="1"/>
      <c r="I95" s="1"/>
      <c r="J95" s="1"/>
      <c r="K95" s="1"/>
      <c r="L95" s="1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1"/>
      <c r="E96" s="1"/>
      <c r="F96" s="111"/>
      <c r="G96" s="1"/>
      <c r="H96" s="1"/>
      <c r="I96" s="1"/>
      <c r="J96" s="1"/>
      <c r="K96" s="1"/>
      <c r="L96" s="1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1"/>
      <c r="AG96" s="1"/>
      <c r="AH96" s="1"/>
      <c r="AI96" s="1"/>
      <c r="AJ96" s="1"/>
      <c r="AK96" s="1"/>
      <c r="AL96" s="1"/>
    </row>
    <row r="97" spans="1:38" ht="15" customHeight="1">
      <c r="A97" s="1"/>
      <c r="B97" s="1"/>
      <c r="C97" s="1"/>
      <c r="D97" s="1"/>
      <c r="E97" s="1"/>
      <c r="F97" s="111"/>
      <c r="G97" s="1"/>
      <c r="H97" s="1"/>
      <c r="I97" s="1"/>
      <c r="J97" s="1"/>
      <c r="K97" s="1"/>
      <c r="L97" s="1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1"/>
      <c r="F98" s="111"/>
      <c r="G98" s="1"/>
      <c r="H98" s="1"/>
      <c r="I98" s="1"/>
      <c r="J98" s="1"/>
      <c r="K98" s="1"/>
      <c r="L98" s="1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1"/>
      <c r="AG98" s="1"/>
      <c r="AH98" s="1"/>
      <c r="AI98" s="1"/>
      <c r="AJ98" s="1"/>
      <c r="AK98" s="1"/>
      <c r="AL98" s="1"/>
    </row>
    <row r="99" spans="1:38" ht="15" customHeight="1">
      <c r="A99" s="1"/>
      <c r="B99" s="1"/>
      <c r="C99" s="1"/>
      <c r="D99" s="1"/>
      <c r="E99" s="1"/>
      <c r="F99" s="111"/>
      <c r="G99" s="1"/>
      <c r="H99" s="1"/>
      <c r="I99" s="1"/>
      <c r="J99" s="1"/>
      <c r="K99" s="1"/>
      <c r="L99" s="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1"/>
      <c r="AG99" s="1"/>
      <c r="AH99" s="1"/>
      <c r="AI99" s="1"/>
      <c r="AJ99" s="1"/>
      <c r="AK99" s="1"/>
      <c r="AL99" s="1"/>
    </row>
    <row r="100" spans="1:38" ht="15" customHeight="1">
      <c r="A100" s="1"/>
      <c r="B100" s="1"/>
      <c r="C100" s="1"/>
      <c r="D100" s="1"/>
      <c r="E100" s="1"/>
      <c r="F100" s="111"/>
      <c r="G100" s="1"/>
      <c r="H100" s="1"/>
      <c r="I100" s="1"/>
      <c r="J100" s="1"/>
      <c r="K100" s="1"/>
      <c r="L100" s="1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1"/>
      <c r="E101" s="1"/>
      <c r="F101" s="111"/>
      <c r="G101" s="1"/>
      <c r="H101" s="1"/>
      <c r="I101" s="1"/>
      <c r="J101" s="1"/>
      <c r="K101" s="1"/>
      <c r="L101" s="1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1"/>
      <c r="E102" s="1"/>
      <c r="F102" s="111"/>
      <c r="G102" s="1"/>
      <c r="H102" s="1"/>
      <c r="I102" s="1"/>
      <c r="J102" s="1"/>
      <c r="K102" s="1"/>
      <c r="L102" s="1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1"/>
      <c r="E103" s="1"/>
      <c r="F103" s="111"/>
      <c r="G103" s="1"/>
      <c r="H103" s="1"/>
      <c r="I103" s="1"/>
      <c r="J103" s="1"/>
      <c r="K103" s="1"/>
      <c r="L103" s="1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1"/>
      <c r="AG103" s="1"/>
      <c r="AH103" s="1"/>
      <c r="AI103" s="1"/>
      <c r="AJ103" s="1"/>
      <c r="AK103" s="1"/>
      <c r="AL103" s="1"/>
    </row>
    <row r="104" spans="1:38" ht="15" customHeight="1">
      <c r="A104" s="1"/>
      <c r="B104" s="1"/>
      <c r="C104" s="1"/>
      <c r="D104" s="1"/>
      <c r="E104" s="1"/>
      <c r="F104" s="111"/>
      <c r="G104" s="1"/>
      <c r="H104" s="1"/>
      <c r="I104" s="1"/>
      <c r="J104" s="1"/>
      <c r="K104" s="1"/>
      <c r="L104" s="1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1"/>
      <c r="F105" s="111"/>
      <c r="G105" s="1"/>
      <c r="H105" s="1"/>
      <c r="I105" s="1"/>
      <c r="J105" s="1"/>
      <c r="K105" s="1"/>
      <c r="L105" s="1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"/>
      <c r="D106" s="1"/>
      <c r="E106" s="1"/>
      <c r="F106" s="111"/>
      <c r="G106" s="1"/>
      <c r="H106" s="1"/>
      <c r="I106" s="1"/>
      <c r="J106" s="1"/>
      <c r="K106" s="1"/>
      <c r="L106" s="1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1"/>
      <c r="E107" s="1"/>
      <c r="F107" s="111"/>
      <c r="G107" s="1"/>
      <c r="H107" s="1"/>
      <c r="I107" s="1"/>
      <c r="J107" s="1"/>
      <c r="K107" s="1"/>
      <c r="L107" s="1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1"/>
      <c r="E108" s="1"/>
      <c r="F108" s="111"/>
      <c r="G108" s="1"/>
      <c r="H108" s="1"/>
      <c r="I108" s="1"/>
      <c r="J108" s="1"/>
      <c r="K108" s="1"/>
      <c r="L108" s="1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1"/>
      <c r="F109" s="111"/>
      <c r="G109" s="1"/>
      <c r="H109" s="1"/>
      <c r="I109" s="1"/>
      <c r="J109" s="1"/>
      <c r="K109" s="1"/>
      <c r="L109" s="1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1"/>
      <c r="F110" s="111"/>
      <c r="G110" s="1"/>
      <c r="H110" s="1"/>
      <c r="I110" s="1"/>
      <c r="J110" s="1"/>
      <c r="K110" s="1"/>
      <c r="L110" s="1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1"/>
      <c r="C111" s="1"/>
      <c r="D111" s="1"/>
      <c r="E111" s="1"/>
      <c r="F111" s="111"/>
      <c r="G111" s="1"/>
      <c r="H111" s="1"/>
      <c r="I111" s="1"/>
      <c r="J111" s="1"/>
      <c r="K111" s="1"/>
      <c r="L111" s="1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"/>
      <c r="F112" s="111"/>
      <c r="G112" s="1"/>
      <c r="H112" s="1"/>
      <c r="I112" s="1"/>
      <c r="J112" s="1"/>
      <c r="K112" s="1"/>
      <c r="L112" s="1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1"/>
      <c r="E113" s="1"/>
      <c r="F113" s="111"/>
      <c r="G113" s="1"/>
      <c r="H113" s="1"/>
      <c r="I113" s="1"/>
      <c r="J113" s="1"/>
      <c r="K113" s="1"/>
      <c r="L113" s="1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1"/>
      <c r="E114" s="1"/>
      <c r="F114" s="111"/>
      <c r="G114" s="1"/>
      <c r="H114" s="1"/>
      <c r="I114" s="1"/>
      <c r="J114" s="1"/>
      <c r="K114" s="1"/>
      <c r="L114" s="1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1"/>
      <c r="E115" s="1"/>
      <c r="F115" s="111"/>
      <c r="G115" s="1"/>
      <c r="H115" s="1"/>
      <c r="I115" s="1"/>
      <c r="J115" s="1"/>
      <c r="K115" s="1"/>
      <c r="L115" s="1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1"/>
      <c r="E116" s="1"/>
      <c r="F116" s="111"/>
      <c r="G116" s="1"/>
      <c r="H116" s="1"/>
      <c r="I116" s="1"/>
      <c r="J116" s="1"/>
      <c r="K116" s="1"/>
      <c r="L116" s="1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1"/>
      <c r="E117" s="1"/>
      <c r="F117" s="111"/>
      <c r="G117" s="1"/>
      <c r="H117" s="1"/>
      <c r="I117" s="1"/>
      <c r="J117" s="1"/>
      <c r="K117" s="1"/>
      <c r="L117" s="1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1"/>
      <c r="E118" s="1"/>
      <c r="F118" s="111"/>
      <c r="G118" s="1"/>
      <c r="H118" s="1"/>
      <c r="I118" s="1"/>
      <c r="J118" s="1"/>
      <c r="K118" s="1"/>
      <c r="L118" s="1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1"/>
      <c r="AG118" s="1"/>
      <c r="AH118" s="1"/>
      <c r="AI118" s="1"/>
      <c r="AJ118" s="1"/>
      <c r="AK118" s="1"/>
      <c r="AL118" s="1"/>
    </row>
    <row r="119" spans="1:38" ht="15" customHeight="1">
      <c r="A119" s="1"/>
      <c r="B119" s="1"/>
      <c r="C119" s="1"/>
      <c r="D119" s="1"/>
      <c r="E119" s="1"/>
      <c r="F119" s="111"/>
      <c r="G119" s="1"/>
      <c r="H119" s="1"/>
      <c r="I119" s="1"/>
      <c r="J119" s="1"/>
      <c r="K119" s="1"/>
      <c r="L119" s="1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1"/>
      <c r="AG119" s="1"/>
      <c r="AH119" s="1"/>
      <c r="AI119" s="1"/>
      <c r="AJ119" s="1"/>
      <c r="AK119" s="1"/>
      <c r="AL119" s="1"/>
    </row>
    <row r="120" spans="1:38" ht="15" customHeight="1">
      <c r="A120" s="1"/>
      <c r="B120" s="1"/>
      <c r="C120" s="1"/>
      <c r="D120" s="1"/>
      <c r="E120" s="1"/>
      <c r="F120" s="111"/>
      <c r="G120" s="1"/>
      <c r="H120" s="1"/>
      <c r="I120" s="1"/>
      <c r="J120" s="1"/>
      <c r="K120" s="1"/>
      <c r="L120" s="1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1"/>
      <c r="E121" s="1"/>
      <c r="F121" s="111"/>
      <c r="G121" s="1"/>
      <c r="H121" s="1"/>
      <c r="I121" s="1"/>
      <c r="J121" s="1"/>
      <c r="K121" s="1"/>
      <c r="L121" s="1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1"/>
      <c r="AG121" s="1"/>
      <c r="AH121" s="1"/>
      <c r="AI121" s="1"/>
      <c r="AJ121" s="1"/>
      <c r="AK121" s="1"/>
      <c r="AL121" s="1"/>
    </row>
    <row r="122" spans="1:38" ht="15" customHeight="1">
      <c r="A122" s="1"/>
      <c r="B122" s="1"/>
      <c r="C122" s="1"/>
      <c r="D122" s="1"/>
      <c r="E122" s="1"/>
      <c r="F122" s="111"/>
      <c r="G122" s="1"/>
      <c r="H122" s="1"/>
      <c r="I122" s="1"/>
      <c r="J122" s="1"/>
      <c r="K122" s="1"/>
      <c r="L122" s="1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1"/>
      <c r="AG122" s="1"/>
      <c r="AH122" s="1"/>
      <c r="AI122" s="1"/>
      <c r="AJ122" s="1"/>
      <c r="AK122" s="1"/>
      <c r="AL122" s="1"/>
    </row>
    <row r="123" spans="1:38" ht="15" customHeight="1">
      <c r="A123" s="1"/>
      <c r="B123" s="1"/>
      <c r="C123" s="1"/>
      <c r="D123" s="1"/>
      <c r="E123" s="1"/>
      <c r="F123" s="111"/>
      <c r="G123" s="1"/>
      <c r="H123" s="1"/>
      <c r="I123" s="1"/>
      <c r="J123" s="1"/>
      <c r="K123" s="1"/>
      <c r="L123" s="1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1"/>
      <c r="E124" s="1"/>
      <c r="F124" s="111"/>
      <c r="G124" s="1"/>
      <c r="H124" s="1"/>
      <c r="I124" s="1"/>
      <c r="J124" s="1"/>
      <c r="K124" s="1"/>
      <c r="L124" s="1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1"/>
      <c r="E125" s="1"/>
      <c r="F125" s="111"/>
      <c r="G125" s="1"/>
      <c r="H125" s="1"/>
      <c r="I125" s="1"/>
      <c r="J125" s="1"/>
      <c r="K125" s="1"/>
      <c r="L125" s="1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1"/>
      <c r="E126" s="1"/>
      <c r="F126" s="111"/>
      <c r="G126" s="1"/>
      <c r="H126" s="1"/>
      <c r="I126" s="1"/>
      <c r="J126" s="1"/>
      <c r="K126" s="1"/>
      <c r="L126" s="1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1"/>
      <c r="E127" s="1"/>
      <c r="F127" s="111"/>
      <c r="G127" s="1"/>
      <c r="H127" s="1"/>
      <c r="I127" s="1"/>
      <c r="J127" s="1"/>
      <c r="K127" s="1"/>
      <c r="L127" s="1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1"/>
      <c r="E128" s="1"/>
      <c r="F128" s="111"/>
      <c r="G128" s="1"/>
      <c r="H128" s="1"/>
      <c r="I128" s="1"/>
      <c r="J128" s="1"/>
      <c r="K128" s="1"/>
      <c r="L128" s="1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1"/>
      <c r="F129" s="111"/>
      <c r="G129" s="1"/>
      <c r="H129" s="1"/>
      <c r="I129" s="1"/>
      <c r="J129" s="1"/>
      <c r="K129" s="1"/>
      <c r="L129" s="1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1"/>
      <c r="AG129" s="1"/>
      <c r="AH129" s="1"/>
      <c r="AI129" s="1"/>
      <c r="AJ129" s="1"/>
      <c r="AK129" s="1"/>
      <c r="AL129" s="1"/>
    </row>
    <row r="130" spans="1:38" ht="15" customHeight="1">
      <c r="A130" s="1"/>
      <c r="B130" s="1"/>
      <c r="C130" s="1"/>
      <c r="D130" s="1"/>
      <c r="E130" s="1"/>
      <c r="F130" s="111"/>
      <c r="G130" s="1"/>
      <c r="H130" s="1"/>
      <c r="I130" s="1"/>
      <c r="J130" s="1"/>
      <c r="K130" s="1"/>
      <c r="L130" s="1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1"/>
      <c r="AG130" s="1"/>
      <c r="AH130" s="1"/>
      <c r="AI130" s="1"/>
      <c r="AJ130" s="1"/>
      <c r="AK130" s="1"/>
      <c r="AL130" s="1"/>
    </row>
    <row r="131" spans="1:38" ht="15" customHeight="1">
      <c r="A131" s="1"/>
      <c r="B131" s="1"/>
      <c r="C131" s="1"/>
      <c r="D131" s="1"/>
      <c r="E131" s="1"/>
      <c r="F131" s="111"/>
      <c r="G131" s="1"/>
      <c r="H131" s="1"/>
      <c r="I131" s="1"/>
      <c r="J131" s="1"/>
      <c r="K131" s="1"/>
      <c r="L131" s="1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1"/>
      <c r="AG131" s="1"/>
      <c r="AH131" s="1"/>
      <c r="AI131" s="1"/>
      <c r="AJ131" s="1"/>
      <c r="AK131" s="1"/>
      <c r="AL131" s="1"/>
    </row>
    <row r="132" spans="1:38" ht="15" customHeight="1">
      <c r="A132" s="1"/>
      <c r="B132" s="1"/>
      <c r="C132" s="1"/>
      <c r="D132" s="1"/>
      <c r="E132" s="1"/>
      <c r="F132" s="111"/>
      <c r="G132" s="1"/>
      <c r="H132" s="1"/>
      <c r="I132" s="1"/>
      <c r="J132" s="1"/>
      <c r="K132" s="1"/>
      <c r="L132" s="1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1"/>
      <c r="AG132" s="1"/>
      <c r="AH132" s="1"/>
      <c r="AI132" s="1"/>
      <c r="AJ132" s="1"/>
      <c r="AK132" s="1"/>
      <c r="AL132" s="1"/>
    </row>
    <row r="133" spans="1:38" ht="15" customHeight="1">
      <c r="A133" s="1"/>
      <c r="B133" s="1"/>
      <c r="C133" s="1"/>
      <c r="D133" s="1"/>
      <c r="E133" s="1"/>
      <c r="F133" s="111"/>
      <c r="G133" s="1"/>
      <c r="H133" s="1"/>
      <c r="I133" s="1"/>
      <c r="J133" s="1"/>
      <c r="K133" s="1"/>
      <c r="L133" s="1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1"/>
      <c r="AG133" s="1"/>
      <c r="AH133" s="1"/>
      <c r="AI133" s="1"/>
      <c r="AJ133" s="1"/>
      <c r="AK133" s="1"/>
      <c r="AL133" s="1"/>
    </row>
    <row r="134" spans="1:38" ht="15" customHeight="1">
      <c r="A134" s="1"/>
      <c r="B134" s="1"/>
      <c r="C134" s="1"/>
      <c r="D134" s="1"/>
      <c r="E134" s="1"/>
      <c r="F134" s="111"/>
      <c r="G134" s="1"/>
      <c r="H134" s="1"/>
      <c r="I134" s="1"/>
      <c r="J134" s="1"/>
      <c r="K134" s="1"/>
      <c r="L134" s="1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1"/>
      <c r="AG134" s="1"/>
      <c r="AH134" s="1"/>
      <c r="AI134" s="1"/>
      <c r="AJ134" s="1"/>
      <c r="AK134" s="1"/>
      <c r="AL134" s="1"/>
    </row>
    <row r="135" spans="1:38" ht="15" customHeight="1">
      <c r="A135" s="1"/>
      <c r="B135" s="1"/>
      <c r="C135" s="1"/>
      <c r="D135" s="1"/>
      <c r="E135" s="1"/>
      <c r="F135" s="111"/>
      <c r="G135" s="1"/>
      <c r="H135" s="1"/>
      <c r="I135" s="1"/>
      <c r="J135" s="1"/>
      <c r="K135" s="1"/>
      <c r="L135" s="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1"/>
      <c r="AG135" s="1"/>
      <c r="AH135" s="1"/>
      <c r="AI135" s="1"/>
      <c r="AJ135" s="1"/>
      <c r="AK135" s="1"/>
      <c r="AL135" s="1"/>
    </row>
    <row r="136" spans="1:38" ht="15" customHeight="1">
      <c r="A136" s="1"/>
      <c r="B136" s="1"/>
      <c r="C136" s="1"/>
      <c r="D136" s="1"/>
      <c r="E136" s="1"/>
      <c r="F136" s="111"/>
      <c r="G136" s="1"/>
      <c r="H136" s="1"/>
      <c r="I136" s="1"/>
      <c r="J136" s="1"/>
      <c r="K136" s="1"/>
      <c r="L136" s="1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1"/>
      <c r="AG136" s="1"/>
      <c r="AH136" s="1"/>
      <c r="AI136" s="1"/>
      <c r="AJ136" s="1"/>
      <c r="AK136" s="1"/>
      <c r="AL136" s="1"/>
    </row>
    <row r="137" spans="1:38" ht="15" customHeight="1">
      <c r="A137" s="1"/>
      <c r="B137" s="1"/>
      <c r="C137" s="1"/>
      <c r="D137" s="1"/>
      <c r="E137" s="1"/>
      <c r="F137" s="111"/>
      <c r="G137" s="1"/>
      <c r="H137" s="1"/>
      <c r="I137" s="1"/>
      <c r="J137" s="1"/>
      <c r="K137" s="1"/>
      <c r="L137" s="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1"/>
      <c r="AG137" s="1"/>
      <c r="AH137" s="1"/>
      <c r="AI137" s="1"/>
      <c r="AJ137" s="1"/>
      <c r="AK137" s="1"/>
      <c r="AL137" s="1"/>
    </row>
    <row r="138" spans="1:38" ht="15" customHeight="1">
      <c r="A138" s="1"/>
      <c r="B138" s="1"/>
      <c r="C138" s="1"/>
      <c r="D138" s="1"/>
      <c r="E138" s="1"/>
      <c r="F138" s="111"/>
      <c r="G138" s="1"/>
      <c r="H138" s="1"/>
      <c r="I138" s="1"/>
      <c r="J138" s="1"/>
      <c r="K138" s="1"/>
      <c r="L138" s="1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1"/>
      <c r="AG138" s="1"/>
      <c r="AH138" s="1"/>
      <c r="AI138" s="1"/>
      <c r="AJ138" s="1"/>
      <c r="AK138" s="1"/>
      <c r="AL138" s="1"/>
    </row>
    <row r="139" spans="1:38" ht="15" customHeight="1">
      <c r="A139" s="1"/>
      <c r="B139" s="1"/>
      <c r="C139" s="1"/>
      <c r="D139" s="1"/>
      <c r="E139" s="1"/>
      <c r="F139" s="111"/>
      <c r="G139" s="1"/>
      <c r="H139" s="1"/>
      <c r="I139" s="1"/>
      <c r="J139" s="1"/>
      <c r="K139" s="1"/>
      <c r="L139" s="1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1"/>
      <c r="AG139" s="1"/>
      <c r="AH139" s="1"/>
      <c r="AI139" s="1"/>
      <c r="AJ139" s="1"/>
      <c r="AK139" s="1"/>
      <c r="AL139" s="1"/>
    </row>
    <row r="140" spans="1:38" ht="15" customHeight="1">
      <c r="A140" s="1"/>
      <c r="B140" s="1"/>
      <c r="C140" s="1"/>
      <c r="D140" s="1"/>
      <c r="E140" s="1"/>
      <c r="F140" s="111"/>
      <c r="G140" s="1"/>
      <c r="H140" s="1"/>
      <c r="I140" s="1"/>
      <c r="J140" s="1"/>
      <c r="K140" s="1"/>
      <c r="L140" s="1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1"/>
      <c r="AG140" s="1"/>
      <c r="AH140" s="1"/>
      <c r="AI140" s="1"/>
      <c r="AJ140" s="1"/>
      <c r="AK140" s="1"/>
      <c r="AL140" s="1"/>
    </row>
    <row r="141" spans="1:38" ht="15" customHeight="1">
      <c r="A141" s="1"/>
      <c r="B141" s="1"/>
      <c r="C141" s="1"/>
      <c r="D141" s="1"/>
      <c r="E141" s="1"/>
      <c r="F141" s="111"/>
      <c r="G141" s="1"/>
      <c r="H141" s="1"/>
      <c r="I141" s="1"/>
      <c r="J141" s="1"/>
      <c r="K141" s="1"/>
      <c r="L141" s="1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1"/>
      <c r="AG141" s="1"/>
      <c r="AH141" s="1"/>
      <c r="AI141" s="1"/>
      <c r="AJ141" s="1"/>
      <c r="AK141" s="1"/>
      <c r="AL141" s="1"/>
    </row>
    <row r="142" spans="1:38" ht="15" customHeight="1">
      <c r="A142" s="1"/>
      <c r="B142" s="1"/>
      <c r="C142" s="1"/>
      <c r="D142" s="1"/>
      <c r="E142" s="1"/>
      <c r="F142" s="111"/>
      <c r="G142" s="1"/>
      <c r="H142" s="1"/>
      <c r="I142" s="1"/>
      <c r="J142" s="1"/>
      <c r="K142" s="1"/>
      <c r="L142" s="1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1"/>
      <c r="AG142" s="1"/>
      <c r="AH142" s="1"/>
      <c r="AI142" s="1"/>
      <c r="AJ142" s="1"/>
      <c r="AK142" s="1"/>
      <c r="AL142" s="1"/>
    </row>
    <row r="143" spans="1:38" ht="15" customHeight="1">
      <c r="A143" s="1"/>
      <c r="B143" s="1"/>
      <c r="C143" s="1"/>
      <c r="D143" s="1"/>
      <c r="E143" s="1"/>
      <c r="F143" s="111"/>
      <c r="G143" s="1"/>
      <c r="H143" s="1"/>
      <c r="I143" s="1"/>
      <c r="J143" s="1"/>
      <c r="K143" s="1"/>
      <c r="L143" s="1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1"/>
      <c r="AG143" s="1"/>
      <c r="AH143" s="1"/>
      <c r="AI143" s="1"/>
      <c r="AJ143" s="1"/>
      <c r="AK143" s="1"/>
      <c r="AL143" s="1"/>
    </row>
    <row r="144" spans="1:38" ht="15" customHeight="1">
      <c r="A144" s="1"/>
      <c r="B144" s="1"/>
      <c r="C144" s="1"/>
      <c r="D144" s="1"/>
      <c r="E144" s="1"/>
      <c r="F144" s="111"/>
      <c r="G144" s="1"/>
      <c r="H144" s="1"/>
      <c r="I144" s="1"/>
      <c r="J144" s="1"/>
      <c r="K144" s="1"/>
      <c r="L144" s="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1"/>
      <c r="AG144" s="1"/>
      <c r="AH144" s="1"/>
      <c r="AI144" s="1"/>
      <c r="AJ144" s="1"/>
      <c r="AK144" s="1"/>
      <c r="AL144" s="1"/>
    </row>
    <row r="145" spans="1:38" ht="15" customHeight="1">
      <c r="A145" s="1"/>
      <c r="B145" s="1"/>
      <c r="C145" s="1"/>
      <c r="D145" s="1"/>
      <c r="E145" s="1"/>
      <c r="F145" s="111"/>
      <c r="G145" s="1"/>
      <c r="H145" s="1"/>
      <c r="I145" s="1"/>
      <c r="J145" s="1"/>
      <c r="K145" s="1"/>
      <c r="L145" s="1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1"/>
      <c r="AG145" s="1"/>
      <c r="AH145" s="1"/>
      <c r="AI145" s="1"/>
      <c r="AJ145" s="1"/>
      <c r="AK145" s="1"/>
      <c r="AL145" s="1"/>
    </row>
    <row r="146" spans="1:38" ht="15" customHeight="1">
      <c r="A146" s="1"/>
      <c r="B146" s="1"/>
      <c r="C146" s="1"/>
      <c r="D146" s="1"/>
      <c r="E146" s="1"/>
      <c r="F146" s="111"/>
      <c r="G146" s="1"/>
      <c r="H146" s="1"/>
      <c r="I146" s="1"/>
      <c r="J146" s="1"/>
      <c r="K146" s="1"/>
      <c r="L146" s="1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1"/>
      <c r="AG146" s="1"/>
      <c r="AH146" s="1"/>
      <c r="AI146" s="1"/>
      <c r="AJ146" s="1"/>
      <c r="AK146" s="1"/>
      <c r="AL146" s="1"/>
    </row>
    <row r="147" spans="1:38" ht="15" customHeight="1">
      <c r="A147" s="1"/>
      <c r="B147" s="1"/>
      <c r="C147" s="1"/>
      <c r="D147" s="1"/>
      <c r="E147" s="1"/>
      <c r="F147" s="111"/>
      <c r="G147" s="1"/>
      <c r="H147" s="1"/>
      <c r="I147" s="1"/>
      <c r="J147" s="1"/>
      <c r="K147" s="1"/>
      <c r="L147" s="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1"/>
      <c r="AG147" s="1"/>
      <c r="AH147" s="1"/>
      <c r="AI147" s="1"/>
      <c r="AJ147" s="1"/>
      <c r="AK147" s="1"/>
      <c r="AL147" s="1"/>
    </row>
    <row r="148" spans="1:38" ht="15" customHeight="1">
      <c r="A148" s="1"/>
      <c r="B148" s="1"/>
      <c r="C148" s="1"/>
      <c r="D148" s="1"/>
      <c r="E148" s="1"/>
      <c r="F148" s="111"/>
      <c r="G148" s="1"/>
      <c r="H148" s="1"/>
      <c r="I148" s="1"/>
      <c r="J148" s="1"/>
      <c r="K148" s="1"/>
      <c r="L148" s="1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1"/>
      <c r="AG148" s="1"/>
      <c r="AH148" s="1"/>
      <c r="AI148" s="1"/>
      <c r="AJ148" s="1"/>
      <c r="AK148" s="1"/>
      <c r="AL148" s="1"/>
    </row>
    <row r="149" spans="1:38" ht="15" customHeight="1">
      <c r="A149" s="1"/>
      <c r="B149" s="1"/>
      <c r="C149" s="1"/>
      <c r="D149" s="1"/>
      <c r="E149" s="1"/>
      <c r="F149" s="111"/>
      <c r="G149" s="1"/>
      <c r="H149" s="1"/>
      <c r="I149" s="1"/>
      <c r="J149" s="1"/>
      <c r="K149" s="1"/>
      <c r="L149" s="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1"/>
      <c r="AG149" s="1"/>
      <c r="AH149" s="1"/>
      <c r="AI149" s="1"/>
      <c r="AJ149" s="1"/>
      <c r="AK149" s="1"/>
      <c r="AL149" s="1"/>
    </row>
    <row r="150" spans="1:38" ht="15" customHeight="1">
      <c r="A150" s="1"/>
      <c r="B150" s="1"/>
      <c r="C150" s="1"/>
      <c r="D150" s="1"/>
      <c r="E150" s="1"/>
      <c r="F150" s="111"/>
      <c r="G150" s="1"/>
      <c r="H150" s="1"/>
      <c r="I150" s="1"/>
      <c r="J150" s="1"/>
      <c r="K150" s="1"/>
      <c r="L150" s="1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1"/>
      <c r="AG150" s="1"/>
      <c r="AH150" s="1"/>
      <c r="AI150" s="1"/>
      <c r="AJ150" s="1"/>
      <c r="AK150" s="1"/>
      <c r="AL150" s="1"/>
    </row>
    <row r="151" spans="1:38" ht="15" customHeight="1">
      <c r="A151" s="1"/>
      <c r="B151" s="1"/>
      <c r="C151" s="1"/>
      <c r="D151" s="1"/>
      <c r="E151" s="1"/>
      <c r="F151" s="111"/>
      <c r="G151" s="1"/>
      <c r="H151" s="1"/>
      <c r="I151" s="1"/>
      <c r="J151" s="1"/>
      <c r="K151" s="1"/>
      <c r="L151" s="1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1"/>
      <c r="AG151" s="1"/>
      <c r="AH151" s="1"/>
      <c r="AI151" s="1"/>
      <c r="AJ151" s="1"/>
      <c r="AK151" s="1"/>
      <c r="AL151" s="1"/>
    </row>
    <row r="152" spans="1:38" ht="15" customHeight="1">
      <c r="A152" s="1"/>
      <c r="B152" s="1"/>
      <c r="C152" s="1"/>
      <c r="D152" s="1"/>
      <c r="E152" s="1"/>
      <c r="F152" s="111"/>
      <c r="G152" s="1"/>
      <c r="H152" s="1"/>
      <c r="I152" s="1"/>
      <c r="J152" s="1"/>
      <c r="K152" s="1"/>
      <c r="L152" s="1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1"/>
      <c r="AG152" s="1"/>
      <c r="AH152" s="1"/>
      <c r="AI152" s="1"/>
      <c r="AJ152" s="1"/>
      <c r="AK152" s="1"/>
      <c r="AL152" s="1"/>
    </row>
    <row r="153" spans="1:38" ht="15" customHeight="1">
      <c r="A153" s="1"/>
      <c r="B153" s="1"/>
      <c r="C153" s="1"/>
      <c r="D153" s="1"/>
      <c r="E153" s="1"/>
      <c r="F153" s="111"/>
      <c r="G153" s="1"/>
      <c r="H153" s="1"/>
      <c r="I153" s="1"/>
      <c r="J153" s="1"/>
      <c r="K153" s="1"/>
      <c r="L153" s="1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1"/>
      <c r="AG153" s="1"/>
      <c r="AH153" s="1"/>
      <c r="AI153" s="1"/>
      <c r="AJ153" s="1"/>
      <c r="AK153" s="1"/>
      <c r="AL153" s="1"/>
    </row>
    <row r="154" spans="1:38" ht="15" customHeight="1">
      <c r="A154" s="1"/>
      <c r="B154" s="1"/>
      <c r="C154" s="1"/>
      <c r="D154" s="1"/>
      <c r="E154" s="1"/>
      <c r="F154" s="111"/>
      <c r="G154" s="1"/>
      <c r="H154" s="1"/>
      <c r="I154" s="1"/>
      <c r="J154" s="1"/>
      <c r="K154" s="1"/>
      <c r="L154" s="1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1"/>
      <c r="AG154" s="1"/>
      <c r="AH154" s="1"/>
      <c r="AI154" s="1"/>
      <c r="AJ154" s="1"/>
      <c r="AK154" s="1"/>
      <c r="AL154" s="1"/>
    </row>
    <row r="155" spans="1:38" ht="15" customHeight="1">
      <c r="A155" s="1"/>
      <c r="B155" s="1"/>
      <c r="C155" s="1"/>
      <c r="D155" s="1"/>
      <c r="E155" s="1"/>
      <c r="F155" s="111"/>
      <c r="G155" s="1"/>
      <c r="H155" s="1"/>
      <c r="I155" s="1"/>
      <c r="J155" s="1"/>
      <c r="K155" s="1"/>
      <c r="L155" s="1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1"/>
      <c r="AG155" s="1"/>
      <c r="AH155" s="1"/>
      <c r="AI155" s="1"/>
      <c r="AJ155" s="1"/>
      <c r="AK155" s="1"/>
      <c r="AL155" s="1"/>
    </row>
    <row r="156" spans="1:38" ht="15" customHeight="1">
      <c r="A156" s="1"/>
      <c r="B156" s="1"/>
      <c r="C156" s="1"/>
      <c r="D156" s="1"/>
      <c r="E156" s="1"/>
      <c r="F156" s="111"/>
      <c r="G156" s="1"/>
      <c r="H156" s="1"/>
      <c r="I156" s="1"/>
      <c r="J156" s="1"/>
      <c r="K156" s="1"/>
      <c r="L156" s="1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1"/>
      <c r="AG156" s="1"/>
      <c r="AH156" s="1"/>
      <c r="AI156" s="1"/>
      <c r="AJ156" s="1"/>
      <c r="AK156" s="1"/>
      <c r="AL156" s="1"/>
    </row>
    <row r="157" spans="1:38" ht="15" customHeight="1">
      <c r="A157" s="1"/>
      <c r="B157" s="1"/>
      <c r="C157" s="1"/>
      <c r="D157" s="1"/>
      <c r="E157" s="1"/>
      <c r="F157" s="111"/>
      <c r="G157" s="1"/>
      <c r="H157" s="1"/>
      <c r="I157" s="1"/>
      <c r="J157" s="1"/>
      <c r="K157" s="1"/>
      <c r="L157" s="1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1"/>
      <c r="AG157" s="1"/>
      <c r="AH157" s="1"/>
      <c r="AI157" s="1"/>
      <c r="AJ157" s="1"/>
      <c r="AK157" s="1"/>
      <c r="AL157" s="1"/>
    </row>
    <row r="158" spans="1:38" ht="15" customHeight="1">
      <c r="A158" s="1"/>
      <c r="B158" s="1"/>
      <c r="C158" s="1"/>
      <c r="D158" s="1"/>
      <c r="E158" s="1"/>
      <c r="F158" s="111"/>
      <c r="G158" s="1"/>
      <c r="H158" s="1"/>
      <c r="I158" s="1"/>
      <c r="J158" s="1"/>
      <c r="K158" s="1"/>
      <c r="L158" s="1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1"/>
      <c r="AG158" s="1"/>
      <c r="AH158" s="1"/>
      <c r="AI158" s="1"/>
      <c r="AJ158" s="1"/>
      <c r="AK158" s="1"/>
      <c r="AL158" s="1"/>
    </row>
    <row r="159" spans="1:38" ht="15" customHeight="1">
      <c r="A159" s="1"/>
      <c r="B159" s="1"/>
      <c r="C159" s="1"/>
      <c r="D159" s="1"/>
      <c r="E159" s="1"/>
      <c r="F159" s="111"/>
      <c r="G159" s="1"/>
      <c r="H159" s="1"/>
      <c r="I159" s="1"/>
      <c r="J159" s="1"/>
      <c r="K159" s="1"/>
      <c r="L159" s="1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1"/>
      <c r="AG159" s="1"/>
      <c r="AH159" s="1"/>
      <c r="AI159" s="1"/>
      <c r="AJ159" s="1"/>
      <c r="AK159" s="1"/>
      <c r="AL159" s="1"/>
    </row>
    <row r="160" spans="1:38" ht="15" customHeight="1">
      <c r="A160" s="1"/>
      <c r="B160" s="1"/>
      <c r="C160" s="1"/>
      <c r="D160" s="1"/>
      <c r="E160" s="1"/>
      <c r="F160" s="111"/>
      <c r="G160" s="1"/>
      <c r="H160" s="1"/>
      <c r="I160" s="1"/>
      <c r="J160" s="1"/>
      <c r="K160" s="1"/>
      <c r="L160" s="1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1"/>
      <c r="AG160" s="1"/>
      <c r="AH160" s="1"/>
      <c r="AI160" s="1"/>
      <c r="AJ160" s="1"/>
      <c r="AK160" s="1"/>
      <c r="AL160" s="1"/>
    </row>
    <row r="161" spans="1:38" ht="15" customHeight="1">
      <c r="A161" s="1"/>
      <c r="B161" s="1"/>
      <c r="C161" s="1"/>
      <c r="D161" s="1"/>
      <c r="E161" s="1"/>
      <c r="F161" s="111"/>
      <c r="G161" s="1"/>
      <c r="H161" s="1"/>
      <c r="I161" s="1"/>
      <c r="J161" s="1"/>
      <c r="K161" s="1"/>
      <c r="L161" s="1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1"/>
      <c r="AG161" s="1"/>
      <c r="AH161" s="1"/>
      <c r="AI161" s="1"/>
      <c r="AJ161" s="1"/>
      <c r="AK161" s="1"/>
      <c r="AL161" s="1"/>
    </row>
    <row r="162" spans="1:38" ht="15" customHeight="1">
      <c r="A162" s="1"/>
      <c r="B162" s="1"/>
      <c r="C162" s="1"/>
      <c r="D162" s="1"/>
      <c r="E162" s="1"/>
      <c r="F162" s="111"/>
      <c r="G162" s="1"/>
      <c r="H162" s="1"/>
      <c r="I162" s="1"/>
      <c r="J162" s="1"/>
      <c r="K162" s="1"/>
      <c r="L162" s="1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1"/>
      <c r="AG162" s="1"/>
      <c r="AH162" s="1"/>
      <c r="AI162" s="1"/>
      <c r="AJ162" s="1"/>
      <c r="AK162" s="1"/>
      <c r="AL162" s="1"/>
    </row>
    <row r="163" spans="1:38" ht="15" customHeight="1">
      <c r="A163" s="1"/>
      <c r="B163" s="1"/>
      <c r="C163" s="1"/>
      <c r="D163" s="1"/>
      <c r="E163" s="1"/>
      <c r="F163" s="111"/>
      <c r="G163" s="1"/>
      <c r="H163" s="1"/>
      <c r="I163" s="1"/>
      <c r="J163" s="1"/>
      <c r="K163" s="1"/>
      <c r="L163" s="1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1"/>
      <c r="AG163" s="1"/>
      <c r="AH163" s="1"/>
      <c r="AI163" s="1"/>
      <c r="AJ163" s="1"/>
      <c r="AK163" s="1"/>
      <c r="AL163" s="1"/>
    </row>
    <row r="164" spans="1:38" ht="15" customHeight="1">
      <c r="A164" s="1"/>
      <c r="B164" s="1"/>
      <c r="C164" s="1"/>
      <c r="D164" s="1"/>
      <c r="E164" s="1"/>
      <c r="F164" s="111"/>
      <c r="G164" s="1"/>
      <c r="H164" s="1"/>
      <c r="I164" s="1"/>
      <c r="J164" s="1"/>
      <c r="K164" s="1"/>
      <c r="L164" s="1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1"/>
      <c r="AG164" s="1"/>
      <c r="AH164" s="1"/>
      <c r="AI164" s="1"/>
      <c r="AJ164" s="1"/>
      <c r="AK164" s="1"/>
      <c r="AL164" s="1"/>
    </row>
    <row r="165" spans="1:38" ht="15" customHeight="1">
      <c r="A165" s="1"/>
      <c r="B165" s="1"/>
      <c r="C165" s="1"/>
      <c r="D165" s="1"/>
      <c r="E165" s="1"/>
      <c r="F165" s="111"/>
      <c r="G165" s="1"/>
      <c r="H165" s="1"/>
      <c r="I165" s="1"/>
      <c r="J165" s="1"/>
      <c r="K165" s="1"/>
      <c r="L165" s="1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1"/>
      <c r="AG165" s="1"/>
      <c r="AH165" s="1"/>
      <c r="AI165" s="1"/>
      <c r="AJ165" s="1"/>
      <c r="AK165" s="1"/>
      <c r="AL165" s="1"/>
    </row>
    <row r="166" spans="1:38" ht="15" customHeight="1">
      <c r="A166" s="1"/>
      <c r="B166" s="1"/>
      <c r="C166" s="1"/>
      <c r="D166" s="1"/>
      <c r="E166" s="1"/>
      <c r="F166" s="111"/>
      <c r="G166" s="1"/>
      <c r="H166" s="1"/>
      <c r="I166" s="1"/>
      <c r="J166" s="1"/>
      <c r="K166" s="1"/>
      <c r="L166" s="1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1"/>
      <c r="AG166" s="1"/>
      <c r="AH166" s="1"/>
      <c r="AI166" s="1"/>
      <c r="AJ166" s="1"/>
      <c r="AK166" s="1"/>
      <c r="AL166" s="1"/>
    </row>
    <row r="167" spans="1:38" ht="15" customHeight="1">
      <c r="A167" s="1"/>
      <c r="B167" s="1"/>
      <c r="C167" s="1"/>
      <c r="D167" s="1"/>
      <c r="E167" s="1"/>
      <c r="F167" s="111"/>
      <c r="G167" s="1"/>
      <c r="H167" s="1"/>
      <c r="I167" s="1"/>
      <c r="J167" s="1"/>
      <c r="K167" s="1"/>
      <c r="L167" s="1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1"/>
      <c r="AG167" s="1"/>
      <c r="AH167" s="1"/>
      <c r="AI167" s="1"/>
      <c r="AJ167" s="1"/>
      <c r="AK167" s="1"/>
      <c r="AL167" s="1"/>
    </row>
    <row r="168" spans="1:38" ht="15" customHeight="1">
      <c r="A168" s="1"/>
      <c r="B168" s="1"/>
      <c r="C168" s="1"/>
      <c r="D168" s="1"/>
      <c r="E168" s="1"/>
      <c r="F168" s="111"/>
      <c r="G168" s="1"/>
      <c r="H168" s="1"/>
      <c r="I168" s="1"/>
      <c r="J168" s="1"/>
      <c r="K168" s="1"/>
      <c r="L168" s="1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1"/>
      <c r="AG168" s="1"/>
      <c r="AH168" s="1"/>
      <c r="AI168" s="1"/>
      <c r="AJ168" s="1"/>
      <c r="AK168" s="1"/>
      <c r="AL168" s="1"/>
    </row>
    <row r="169" spans="1:38" ht="15" customHeight="1">
      <c r="A169" s="1"/>
      <c r="B169" s="1"/>
      <c r="C169" s="1"/>
      <c r="D169" s="1"/>
      <c r="E169" s="1"/>
      <c r="F169" s="111"/>
      <c r="G169" s="1"/>
      <c r="H169" s="1"/>
      <c r="I169" s="1"/>
      <c r="J169" s="1"/>
      <c r="K169" s="1"/>
      <c r="L169" s="1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1"/>
      <c r="AG169" s="1"/>
      <c r="AH169" s="1"/>
      <c r="AI169" s="1"/>
      <c r="AJ169" s="1"/>
      <c r="AK169" s="1"/>
      <c r="AL169" s="1"/>
    </row>
    <row r="170" spans="1:38" ht="15" customHeight="1">
      <c r="A170" s="1"/>
      <c r="B170" s="1"/>
      <c r="C170" s="1"/>
      <c r="D170" s="1"/>
      <c r="E170" s="1"/>
      <c r="F170" s="111"/>
      <c r="G170" s="1"/>
      <c r="H170" s="1"/>
      <c r="I170" s="1"/>
      <c r="J170" s="1"/>
      <c r="K170" s="1"/>
      <c r="L170" s="1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1"/>
      <c r="AG170" s="1"/>
      <c r="AH170" s="1"/>
      <c r="AI170" s="1"/>
      <c r="AJ170" s="1"/>
      <c r="AK170" s="1"/>
      <c r="AL170" s="1"/>
    </row>
    <row r="171" spans="1:38" ht="15" customHeight="1">
      <c r="A171" s="1"/>
      <c r="B171" s="1"/>
      <c r="C171" s="1"/>
      <c r="D171" s="1"/>
      <c r="E171" s="1"/>
      <c r="F171" s="111"/>
      <c r="G171" s="1"/>
      <c r="H171" s="1"/>
      <c r="I171" s="1"/>
      <c r="J171" s="1"/>
      <c r="K171" s="1"/>
      <c r="L171" s="1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1"/>
      <c r="AG171" s="1"/>
      <c r="AH171" s="1"/>
      <c r="AI171" s="1"/>
      <c r="AJ171" s="1"/>
      <c r="AK171" s="1"/>
      <c r="AL171" s="1"/>
    </row>
    <row r="172" spans="1:38" ht="15" customHeight="1">
      <c r="A172" s="1"/>
      <c r="B172" s="1"/>
      <c r="C172" s="1"/>
      <c r="D172" s="1"/>
      <c r="E172" s="1"/>
      <c r="F172" s="111"/>
      <c r="G172" s="1"/>
      <c r="H172" s="1"/>
      <c r="I172" s="1"/>
      <c r="J172" s="1"/>
      <c r="K172" s="1"/>
      <c r="L172" s="1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1"/>
      <c r="AG172" s="1"/>
      <c r="AH172" s="1"/>
      <c r="AI172" s="1"/>
      <c r="AJ172" s="1"/>
      <c r="AK172" s="1"/>
      <c r="AL172" s="1"/>
    </row>
    <row r="173" spans="1:38" ht="15" customHeight="1">
      <c r="A173" s="1"/>
      <c r="B173" s="1"/>
      <c r="C173" s="1"/>
      <c r="D173" s="1"/>
      <c r="E173" s="1"/>
      <c r="F173" s="111"/>
      <c r="G173" s="1"/>
      <c r="H173" s="1"/>
      <c r="I173" s="1"/>
      <c r="J173" s="1"/>
      <c r="K173" s="1"/>
      <c r="L173" s="1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1"/>
      <c r="AG173" s="1"/>
      <c r="AH173" s="1"/>
      <c r="AI173" s="1"/>
      <c r="AJ173" s="1"/>
      <c r="AK173" s="1"/>
      <c r="AL173" s="1"/>
    </row>
    <row r="174" spans="1:38" ht="15" customHeight="1">
      <c r="A174" s="1"/>
      <c r="B174" s="1"/>
      <c r="C174" s="1"/>
      <c r="D174" s="1"/>
      <c r="E174" s="1"/>
      <c r="F174" s="111"/>
      <c r="G174" s="1"/>
      <c r="H174" s="1"/>
      <c r="I174" s="1"/>
      <c r="J174" s="1"/>
      <c r="K174" s="1"/>
      <c r="L174" s="1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1"/>
      <c r="AG174" s="1"/>
      <c r="AH174" s="1"/>
      <c r="AI174" s="1"/>
      <c r="AJ174" s="1"/>
      <c r="AK174" s="1"/>
      <c r="AL174" s="1"/>
    </row>
    <row r="175" spans="1:38" ht="15" customHeight="1">
      <c r="A175" s="1"/>
      <c r="B175" s="1"/>
      <c r="C175" s="1"/>
      <c r="D175" s="1"/>
      <c r="E175" s="1"/>
      <c r="F175" s="111"/>
      <c r="G175" s="1"/>
      <c r="H175" s="1"/>
      <c r="I175" s="1"/>
      <c r="J175" s="1"/>
      <c r="K175" s="1"/>
      <c r="L175" s="1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1"/>
      <c r="AG175" s="1"/>
      <c r="AH175" s="1"/>
      <c r="AI175" s="1"/>
      <c r="AJ175" s="1"/>
      <c r="AK175" s="1"/>
      <c r="AL175" s="1"/>
    </row>
    <row r="176" spans="1:38" ht="15" customHeight="1">
      <c r="A176" s="1"/>
      <c r="B176" s="1"/>
      <c r="C176" s="1"/>
      <c r="D176" s="1"/>
      <c r="E176" s="1"/>
      <c r="F176" s="111"/>
      <c r="G176" s="1"/>
      <c r="H176" s="1"/>
      <c r="I176" s="1"/>
      <c r="J176" s="1"/>
      <c r="K176" s="1"/>
      <c r="L176" s="1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1"/>
      <c r="AG176" s="1"/>
      <c r="AH176" s="1"/>
      <c r="AI176" s="1"/>
      <c r="AJ176" s="1"/>
      <c r="AK176" s="1"/>
      <c r="AL176" s="1"/>
    </row>
    <row r="177" spans="1:38" ht="15" customHeight="1">
      <c r="A177" s="1"/>
      <c r="B177" s="1"/>
      <c r="C177" s="1"/>
      <c r="D177" s="1"/>
      <c r="E177" s="1"/>
      <c r="F177" s="111"/>
      <c r="G177" s="1"/>
      <c r="H177" s="1"/>
      <c r="I177" s="1"/>
      <c r="J177" s="1"/>
      <c r="K177" s="1"/>
      <c r="L177" s="1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1"/>
      <c r="AG177" s="1"/>
      <c r="AH177" s="1"/>
      <c r="AI177" s="1"/>
      <c r="AJ177" s="1"/>
      <c r="AK177" s="1"/>
      <c r="AL177" s="1"/>
    </row>
    <row r="178" spans="1:38" ht="15" customHeight="1">
      <c r="A178" s="1"/>
      <c r="B178" s="1"/>
      <c r="C178" s="1"/>
      <c r="D178" s="1"/>
      <c r="E178" s="1"/>
      <c r="F178" s="111"/>
      <c r="G178" s="1"/>
      <c r="H178" s="1"/>
      <c r="I178" s="1"/>
      <c r="J178" s="1"/>
      <c r="K178" s="1"/>
      <c r="L178" s="1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1"/>
      <c r="AG178" s="1"/>
      <c r="AH178" s="1"/>
      <c r="AI178" s="1"/>
      <c r="AJ178" s="1"/>
      <c r="AK178" s="1"/>
      <c r="AL178" s="1"/>
    </row>
    <row r="179" spans="1:38" ht="15" customHeight="1">
      <c r="A179" s="1"/>
      <c r="B179" s="1"/>
      <c r="C179" s="1"/>
      <c r="D179" s="1"/>
      <c r="E179" s="1"/>
      <c r="F179" s="111"/>
      <c r="G179" s="1"/>
      <c r="H179" s="1"/>
      <c r="I179" s="1"/>
      <c r="J179" s="1"/>
      <c r="K179" s="1"/>
      <c r="L179" s="1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1"/>
      <c r="AG179" s="1"/>
      <c r="AH179" s="1"/>
      <c r="AI179" s="1"/>
      <c r="AJ179" s="1"/>
      <c r="AK179" s="1"/>
      <c r="AL179" s="1"/>
    </row>
    <row r="180" spans="1:38" ht="15" customHeight="1">
      <c r="A180" s="1"/>
      <c r="B180" s="1"/>
      <c r="C180" s="1"/>
      <c r="D180" s="1"/>
      <c r="E180" s="1"/>
      <c r="F180" s="111"/>
      <c r="G180" s="1"/>
      <c r="H180" s="1"/>
      <c r="I180" s="1"/>
      <c r="J180" s="1"/>
      <c r="K180" s="1"/>
      <c r="L180" s="1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1"/>
      <c r="AG180" s="1"/>
      <c r="AH180" s="1"/>
      <c r="AI180" s="1"/>
      <c r="AJ180" s="1"/>
      <c r="AK180" s="1"/>
      <c r="AL180" s="1"/>
    </row>
    <row r="181" spans="1:38" ht="15" customHeight="1">
      <c r="A181" s="1"/>
      <c r="B181" s="1"/>
      <c r="C181" s="1"/>
      <c r="D181" s="1"/>
      <c r="E181" s="1"/>
      <c r="F181" s="111"/>
      <c r="G181" s="1"/>
      <c r="H181" s="1"/>
      <c r="I181" s="1"/>
      <c r="J181" s="1"/>
      <c r="K181" s="1"/>
      <c r="L181" s="1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1"/>
      <c r="AG181" s="1"/>
      <c r="AH181" s="1"/>
      <c r="AI181" s="1"/>
      <c r="AJ181" s="1"/>
      <c r="AK181" s="1"/>
      <c r="AL181" s="1"/>
    </row>
    <row r="182" spans="1:38" ht="15" customHeight="1">
      <c r="A182" s="1"/>
      <c r="B182" s="1"/>
      <c r="C182" s="1"/>
      <c r="D182" s="1"/>
      <c r="E182" s="1"/>
      <c r="F182" s="111"/>
      <c r="G182" s="1"/>
      <c r="H182" s="1"/>
      <c r="I182" s="1"/>
      <c r="J182" s="1"/>
      <c r="K182" s="1"/>
      <c r="L182" s="1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1"/>
      <c r="AG182" s="1"/>
      <c r="AH182" s="1"/>
      <c r="AI182" s="1"/>
      <c r="AJ182" s="1"/>
      <c r="AK182" s="1"/>
      <c r="AL182" s="1"/>
    </row>
    <row r="183" spans="1:38" ht="15" customHeight="1">
      <c r="A183" s="1"/>
      <c r="B183" s="1"/>
      <c r="C183" s="1"/>
      <c r="D183" s="1"/>
      <c r="E183" s="1"/>
      <c r="F183" s="111"/>
      <c r="G183" s="1"/>
      <c r="H183" s="1"/>
      <c r="I183" s="1"/>
      <c r="J183" s="1"/>
      <c r="K183" s="1"/>
      <c r="L183" s="1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1"/>
      <c r="AG183" s="1"/>
      <c r="AH183" s="1"/>
      <c r="AI183" s="1"/>
      <c r="AJ183" s="1"/>
      <c r="AK183" s="1"/>
      <c r="AL183" s="1"/>
    </row>
    <row r="184" spans="1:38" ht="15" customHeight="1">
      <c r="A184" s="1"/>
      <c r="B184" s="1"/>
      <c r="C184" s="1"/>
      <c r="D184" s="1"/>
      <c r="E184" s="1"/>
      <c r="F184" s="111"/>
      <c r="G184" s="1"/>
      <c r="H184" s="1"/>
      <c r="I184" s="1"/>
      <c r="J184" s="1"/>
      <c r="K184" s="1"/>
      <c r="L184" s="1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1"/>
      <c r="AG184" s="1"/>
      <c r="AH184" s="1"/>
      <c r="AI184" s="1"/>
      <c r="AJ184" s="1"/>
      <c r="AK184" s="1"/>
      <c r="AL184" s="1"/>
    </row>
    <row r="185" spans="1:38" ht="15" customHeight="1">
      <c r="A185" s="1"/>
      <c r="B185" s="1"/>
      <c r="C185" s="1"/>
      <c r="D185" s="1"/>
      <c r="E185" s="1"/>
      <c r="F185" s="111"/>
      <c r="G185" s="1"/>
      <c r="H185" s="1"/>
      <c r="I185" s="1"/>
      <c r="J185" s="1"/>
      <c r="K185" s="1"/>
      <c r="L185" s="1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1"/>
      <c r="AG185" s="1"/>
      <c r="AH185" s="1"/>
      <c r="AI185" s="1"/>
      <c r="AJ185" s="1"/>
      <c r="AK185" s="1"/>
      <c r="AL185" s="1"/>
    </row>
    <row r="186" spans="1:38" ht="15" customHeight="1">
      <c r="A186" s="1"/>
      <c r="B186" s="1"/>
      <c r="C186" s="1"/>
      <c r="D186" s="1"/>
      <c r="E186" s="1"/>
      <c r="F186" s="111"/>
      <c r="G186" s="1"/>
      <c r="H186" s="1"/>
      <c r="I186" s="1"/>
      <c r="J186" s="1"/>
      <c r="K186" s="1"/>
      <c r="L186" s="1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1"/>
      <c r="AG186" s="1"/>
      <c r="AH186" s="1"/>
      <c r="AI186" s="1"/>
      <c r="AJ186" s="1"/>
      <c r="AK186" s="1"/>
      <c r="AL186" s="1"/>
    </row>
    <row r="187" spans="1:38" ht="15" customHeight="1">
      <c r="A187" s="1"/>
      <c r="B187" s="1"/>
      <c r="C187" s="1"/>
      <c r="D187" s="1"/>
      <c r="E187" s="1"/>
      <c r="F187" s="111"/>
      <c r="G187" s="1"/>
      <c r="H187" s="1"/>
      <c r="I187" s="1"/>
      <c r="J187" s="1"/>
      <c r="K187" s="1"/>
      <c r="L187" s="1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1"/>
      <c r="AG187" s="1"/>
      <c r="AH187" s="1"/>
      <c r="AI187" s="1"/>
      <c r="AJ187" s="1"/>
      <c r="AK187" s="1"/>
      <c r="AL187" s="1"/>
    </row>
    <row r="188" spans="1:38" ht="15" customHeight="1">
      <c r="A188" s="1"/>
      <c r="B188" s="1"/>
      <c r="C188" s="1"/>
      <c r="D188" s="1"/>
      <c r="E188" s="1"/>
      <c r="F188" s="111"/>
      <c r="G188" s="1"/>
      <c r="H188" s="1"/>
      <c r="I188" s="1"/>
      <c r="J188" s="1"/>
      <c r="K188" s="1"/>
      <c r="L188" s="1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1"/>
      <c r="AG188" s="1"/>
      <c r="AH188" s="1"/>
      <c r="AI188" s="1"/>
      <c r="AJ188" s="1"/>
      <c r="AK188" s="1"/>
      <c r="AL188" s="1"/>
    </row>
    <row r="189" spans="1:38" ht="15" customHeight="1">
      <c r="A189" s="1"/>
      <c r="B189" s="1"/>
      <c r="C189" s="1"/>
      <c r="D189" s="1"/>
      <c r="E189" s="1"/>
      <c r="F189" s="111"/>
      <c r="G189" s="1"/>
      <c r="H189" s="1"/>
      <c r="I189" s="1"/>
      <c r="J189" s="1"/>
      <c r="K189" s="1"/>
      <c r="L189" s="1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1"/>
      <c r="AG189" s="1"/>
      <c r="AH189" s="1"/>
      <c r="AI189" s="1"/>
      <c r="AJ189" s="1"/>
      <c r="AK189" s="1"/>
      <c r="AL189" s="1"/>
    </row>
    <row r="190" spans="1:38" ht="15" customHeight="1">
      <c r="A190" s="1"/>
      <c r="B190" s="1"/>
      <c r="C190" s="1"/>
      <c r="D190" s="1"/>
      <c r="E190" s="1"/>
      <c r="F190" s="111"/>
      <c r="G190" s="1"/>
      <c r="H190" s="1"/>
      <c r="I190" s="1"/>
      <c r="J190" s="1"/>
      <c r="K190" s="1"/>
      <c r="L190" s="1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1"/>
      <c r="AG190" s="1"/>
      <c r="AH190" s="1"/>
      <c r="AI190" s="1"/>
      <c r="AJ190" s="1"/>
      <c r="AK190" s="1"/>
      <c r="AL190" s="1"/>
    </row>
    <row r="191" spans="1:38" ht="15" customHeight="1">
      <c r="A191" s="1"/>
      <c r="B191" s="1"/>
      <c r="C191" s="1"/>
      <c r="D191" s="1"/>
      <c r="E191" s="1"/>
      <c r="F191" s="111"/>
      <c r="G191" s="1"/>
      <c r="H191" s="1"/>
      <c r="I191" s="1"/>
      <c r="J191" s="1"/>
      <c r="K191" s="1"/>
      <c r="L191" s="1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1"/>
      <c r="AG191" s="1"/>
      <c r="AH191" s="1"/>
      <c r="AI191" s="1"/>
      <c r="AJ191" s="1"/>
      <c r="AK191" s="1"/>
      <c r="AL191" s="1"/>
    </row>
    <row r="192" spans="1:38" ht="15" customHeight="1">
      <c r="A192" s="1"/>
      <c r="B192" s="1"/>
      <c r="C192" s="1"/>
      <c r="D192" s="1"/>
      <c r="E192" s="1"/>
      <c r="F192" s="111"/>
      <c r="G192" s="1"/>
      <c r="H192" s="1"/>
      <c r="I192" s="1"/>
      <c r="J192" s="1"/>
      <c r="K192" s="1"/>
      <c r="L192" s="1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1"/>
      <c r="AG192" s="1"/>
      <c r="AH192" s="1"/>
      <c r="AI192" s="1"/>
      <c r="AJ192" s="1"/>
      <c r="AK192" s="1"/>
      <c r="AL192" s="1"/>
    </row>
    <row r="193" spans="1:38" ht="15" customHeight="1">
      <c r="A193" s="1"/>
      <c r="B193" s="1"/>
      <c r="C193" s="1"/>
      <c r="D193" s="1"/>
      <c r="E193" s="1"/>
      <c r="F193" s="111"/>
      <c r="G193" s="1"/>
      <c r="H193" s="1"/>
      <c r="I193" s="1"/>
      <c r="J193" s="1"/>
      <c r="K193" s="1"/>
      <c r="L193" s="1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1"/>
      <c r="AG193" s="1"/>
      <c r="AH193" s="1"/>
      <c r="AI193" s="1"/>
      <c r="AJ193" s="1"/>
      <c r="AK193" s="1"/>
      <c r="AL193" s="1"/>
    </row>
    <row r="194" spans="1:38" ht="15" customHeight="1">
      <c r="A194" s="1"/>
      <c r="B194" s="1"/>
      <c r="C194" s="1"/>
      <c r="D194" s="1"/>
      <c r="E194" s="1"/>
      <c r="F194" s="111"/>
      <c r="G194" s="1"/>
      <c r="H194" s="1"/>
      <c r="I194" s="1"/>
      <c r="J194" s="1"/>
      <c r="K194" s="1"/>
      <c r="L194" s="1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1"/>
      <c r="AG194" s="1"/>
      <c r="AH194" s="1"/>
      <c r="AI194" s="1"/>
      <c r="AJ194" s="1"/>
      <c r="AK194" s="1"/>
      <c r="AL194" s="1"/>
    </row>
    <row r="195" spans="1:38" ht="15" customHeight="1">
      <c r="A195" s="1"/>
      <c r="B195" s="1"/>
      <c r="C195" s="1"/>
      <c r="D195" s="1"/>
      <c r="E195" s="1"/>
      <c r="F195" s="111"/>
      <c r="G195" s="1"/>
      <c r="H195" s="1"/>
      <c r="I195" s="1"/>
      <c r="J195" s="1"/>
      <c r="K195" s="1"/>
      <c r="L195" s="1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1"/>
      <c r="AG195" s="1"/>
      <c r="AH195" s="1"/>
      <c r="AI195" s="1"/>
      <c r="AJ195" s="1"/>
      <c r="AK195" s="1"/>
      <c r="AL195" s="1"/>
    </row>
    <row r="196" spans="1:38" ht="15" customHeight="1">
      <c r="A196" s="1"/>
      <c r="B196" s="1"/>
      <c r="C196" s="1"/>
      <c r="D196" s="1"/>
      <c r="E196" s="1"/>
      <c r="F196" s="111"/>
      <c r="G196" s="1"/>
      <c r="H196" s="1"/>
      <c r="I196" s="1"/>
      <c r="J196" s="1"/>
      <c r="K196" s="1"/>
      <c r="L196" s="1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1"/>
      <c r="AG196" s="1"/>
      <c r="AH196" s="1"/>
      <c r="AI196" s="1"/>
      <c r="AJ196" s="1"/>
      <c r="AK196" s="1"/>
      <c r="AL196" s="1"/>
    </row>
    <row r="197" spans="1:38" ht="15" customHeight="1">
      <c r="A197" s="1"/>
      <c r="B197" s="1"/>
      <c r="C197" s="1"/>
      <c r="D197" s="1"/>
      <c r="E197" s="1"/>
      <c r="F197" s="111"/>
      <c r="G197" s="1"/>
      <c r="H197" s="1"/>
      <c r="I197" s="1"/>
      <c r="J197" s="1"/>
      <c r="K197" s="1"/>
      <c r="L197" s="1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1"/>
      <c r="AG197" s="1"/>
      <c r="AH197" s="1"/>
      <c r="AI197" s="1"/>
      <c r="AJ197" s="1"/>
      <c r="AK197" s="1"/>
      <c r="AL197" s="1"/>
    </row>
    <row r="198" spans="1:38" ht="15" customHeight="1">
      <c r="A198" s="1"/>
      <c r="B198" s="1"/>
      <c r="C198" s="1"/>
      <c r="D198" s="1"/>
      <c r="E198" s="1"/>
      <c r="F198" s="111"/>
      <c r="G198" s="1"/>
      <c r="H198" s="1"/>
      <c r="I198" s="1"/>
      <c r="J198" s="1"/>
      <c r="K198" s="1"/>
      <c r="L198" s="1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1"/>
      <c r="AG198" s="1"/>
      <c r="AH198" s="1"/>
      <c r="AI198" s="1"/>
      <c r="AJ198" s="1"/>
      <c r="AK198" s="1"/>
      <c r="AL198" s="1"/>
    </row>
    <row r="199" spans="1:38" ht="15" customHeight="1">
      <c r="A199" s="1"/>
      <c r="B199" s="1"/>
      <c r="C199" s="1"/>
      <c r="D199" s="1"/>
      <c r="E199" s="1"/>
      <c r="F199" s="111"/>
      <c r="G199" s="1"/>
      <c r="H199" s="1"/>
      <c r="I199" s="1"/>
      <c r="J199" s="1"/>
      <c r="K199" s="1"/>
      <c r="L199" s="1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1"/>
      <c r="AG199" s="1"/>
      <c r="AH199" s="1"/>
      <c r="AI199" s="1"/>
      <c r="AJ199" s="1"/>
      <c r="AK199" s="1"/>
      <c r="AL199" s="1"/>
    </row>
    <row r="200" spans="1:38" ht="15" customHeight="1">
      <c r="A200" s="1"/>
      <c r="B200" s="1"/>
      <c r="C200" s="1"/>
      <c r="D200" s="1"/>
      <c r="E200" s="1"/>
      <c r="F200" s="111"/>
      <c r="G200" s="1"/>
      <c r="H200" s="1"/>
      <c r="I200" s="1"/>
      <c r="J200" s="1"/>
      <c r="K200" s="1"/>
      <c r="L200" s="1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1"/>
      <c r="AG200" s="1"/>
      <c r="AH200" s="1"/>
      <c r="AI200" s="1"/>
      <c r="AJ200" s="1"/>
      <c r="AK200" s="1"/>
      <c r="AL200" s="1"/>
    </row>
    <row r="201" spans="1:38" ht="15" customHeight="1">
      <c r="A201" s="1"/>
      <c r="B201" s="1"/>
      <c r="C201" s="1"/>
      <c r="D201" s="1"/>
      <c r="E201" s="1"/>
      <c r="F201" s="111"/>
      <c r="G201" s="1"/>
      <c r="H201" s="1"/>
      <c r="I201" s="1"/>
      <c r="J201" s="1"/>
      <c r="K201" s="1"/>
      <c r="L201" s="1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1"/>
      <c r="AG201" s="1"/>
      <c r="AH201" s="1"/>
      <c r="AI201" s="1"/>
      <c r="AJ201" s="1"/>
      <c r="AK201" s="1"/>
      <c r="AL201" s="1"/>
    </row>
    <row r="202" spans="1:38" ht="15" customHeight="1">
      <c r="A202" s="1"/>
      <c r="B202" s="1"/>
      <c r="C202" s="1"/>
      <c r="D202" s="1"/>
      <c r="E202" s="1"/>
      <c r="F202" s="111"/>
      <c r="G202" s="1"/>
      <c r="H202" s="1"/>
      <c r="I202" s="1"/>
      <c r="J202" s="1"/>
      <c r="K202" s="1"/>
      <c r="L202" s="1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1"/>
      <c r="AG202" s="1"/>
      <c r="AH202" s="1"/>
      <c r="AI202" s="1"/>
      <c r="AJ202" s="1"/>
      <c r="AK202" s="1"/>
      <c r="AL202" s="1"/>
    </row>
    <row r="203" spans="1:38" ht="15" customHeight="1">
      <c r="A203" s="1"/>
      <c r="B203" s="1"/>
      <c r="C203" s="1"/>
      <c r="D203" s="1"/>
      <c r="E203" s="1"/>
      <c r="F203" s="111"/>
      <c r="G203" s="1"/>
      <c r="H203" s="1"/>
      <c r="I203" s="1"/>
      <c r="J203" s="1"/>
      <c r="K203" s="1"/>
      <c r="L203" s="1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1"/>
      <c r="AG203" s="1"/>
      <c r="AH203" s="1"/>
      <c r="AI203" s="1"/>
      <c r="AJ203" s="1"/>
      <c r="AK203" s="1"/>
      <c r="AL203" s="1"/>
    </row>
    <row r="204" spans="1:38" ht="15" customHeight="1">
      <c r="A204" s="1"/>
      <c r="B204" s="1"/>
      <c r="C204" s="1"/>
      <c r="D204" s="1"/>
      <c r="E204" s="1"/>
      <c r="F204" s="111"/>
      <c r="G204" s="1"/>
      <c r="H204" s="1"/>
      <c r="I204" s="1"/>
      <c r="J204" s="1"/>
      <c r="K204" s="1"/>
      <c r="L204" s="1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1"/>
      <c r="AG204" s="1"/>
      <c r="AH204" s="1"/>
      <c r="AI204" s="1"/>
      <c r="AJ204" s="1"/>
      <c r="AK204" s="1"/>
      <c r="AL204" s="1"/>
    </row>
    <row r="205" spans="1:38" ht="15" customHeight="1">
      <c r="A205" s="1"/>
      <c r="B205" s="1"/>
      <c r="C205" s="1"/>
      <c r="D205" s="1"/>
      <c r="E205" s="1"/>
      <c r="F205" s="111"/>
      <c r="G205" s="1"/>
      <c r="H205" s="1"/>
      <c r="I205" s="1"/>
      <c r="J205" s="1"/>
      <c r="K205" s="1"/>
      <c r="L205" s="1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1"/>
      <c r="AG205" s="1"/>
      <c r="AH205" s="1"/>
      <c r="AI205" s="1"/>
      <c r="AJ205" s="1"/>
      <c r="AK205" s="1"/>
      <c r="AL205" s="1"/>
    </row>
    <row r="206" spans="1:38" ht="15" customHeight="1">
      <c r="A206" s="1"/>
      <c r="B206" s="1"/>
      <c r="C206" s="1"/>
      <c r="D206" s="1"/>
      <c r="E206" s="1"/>
      <c r="F206" s="111"/>
      <c r="G206" s="1"/>
      <c r="H206" s="1"/>
      <c r="I206" s="1"/>
      <c r="J206" s="1"/>
      <c r="K206" s="1"/>
      <c r="L206" s="1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1"/>
      <c r="AG206" s="1"/>
      <c r="AH206" s="1"/>
      <c r="AI206" s="1"/>
      <c r="AJ206" s="1"/>
      <c r="AK206" s="1"/>
      <c r="AL206" s="1"/>
    </row>
    <row r="207" spans="1:38" ht="15" customHeight="1">
      <c r="A207" s="1"/>
      <c r="B207" s="1"/>
      <c r="C207" s="1"/>
      <c r="D207" s="1"/>
      <c r="E207" s="1"/>
      <c r="F207" s="111"/>
      <c r="G207" s="1"/>
      <c r="H207" s="1"/>
      <c r="I207" s="1"/>
      <c r="J207" s="1"/>
      <c r="K207" s="1"/>
      <c r="L207" s="1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1"/>
      <c r="AG207" s="1"/>
      <c r="AH207" s="1"/>
      <c r="AI207" s="1"/>
      <c r="AJ207" s="1"/>
      <c r="AK207" s="1"/>
      <c r="AL207" s="1"/>
    </row>
    <row r="208" spans="1:38" ht="15" customHeight="1">
      <c r="A208" s="1"/>
      <c r="B208" s="1"/>
      <c r="C208" s="1"/>
      <c r="D208" s="1"/>
      <c r="E208" s="1"/>
      <c r="F208" s="111"/>
      <c r="G208" s="1"/>
      <c r="H208" s="1"/>
      <c r="I208" s="1"/>
      <c r="J208" s="1"/>
      <c r="K208" s="1"/>
      <c r="L208" s="1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1"/>
      <c r="AG208" s="1"/>
      <c r="AH208" s="1"/>
      <c r="AI208" s="1"/>
      <c r="AJ208" s="1"/>
      <c r="AK208" s="1"/>
      <c r="AL208" s="1"/>
    </row>
    <row r="209" spans="1:38" ht="15" customHeight="1">
      <c r="A209" s="1"/>
      <c r="B209" s="1"/>
      <c r="C209" s="1"/>
      <c r="D209" s="1"/>
      <c r="E209" s="1"/>
      <c r="F209" s="111"/>
      <c r="G209" s="1"/>
      <c r="H209" s="1"/>
      <c r="I209" s="1"/>
      <c r="J209" s="1"/>
      <c r="K209" s="1"/>
      <c r="L209" s="1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1"/>
      <c r="AG209" s="1"/>
      <c r="AH209" s="1"/>
      <c r="AI209" s="1"/>
      <c r="AJ209" s="1"/>
      <c r="AK209" s="1"/>
      <c r="AL209" s="1"/>
    </row>
    <row r="210" spans="1:38" ht="15" customHeight="1">
      <c r="A210" s="1"/>
      <c r="B210" s="1"/>
      <c r="C210" s="1"/>
      <c r="D210" s="1"/>
      <c r="E210" s="1"/>
      <c r="F210" s="111"/>
      <c r="G210" s="1"/>
      <c r="H210" s="1"/>
      <c r="I210" s="1"/>
      <c r="J210" s="1"/>
      <c r="K210" s="1"/>
      <c r="L210" s="1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1"/>
      <c r="AG210" s="1"/>
      <c r="AH210" s="1"/>
      <c r="AI210" s="1"/>
      <c r="AJ210" s="1"/>
      <c r="AK210" s="1"/>
      <c r="AL210" s="1"/>
    </row>
    <row r="211" spans="1:38" ht="15" customHeight="1">
      <c r="A211" s="1"/>
      <c r="B211" s="1"/>
      <c r="C211" s="1"/>
      <c r="D211" s="1"/>
      <c r="E211" s="1"/>
      <c r="F211" s="111"/>
      <c r="G211" s="1"/>
      <c r="H211" s="1"/>
      <c r="I211" s="1"/>
      <c r="J211" s="1"/>
      <c r="K211" s="1"/>
      <c r="L211" s="1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1"/>
      <c r="AG211" s="1"/>
      <c r="AH211" s="1"/>
      <c r="AI211" s="1"/>
      <c r="AJ211" s="1"/>
      <c r="AK211" s="1"/>
      <c r="AL211" s="1"/>
    </row>
    <row r="212" spans="1:38" ht="15" customHeight="1">
      <c r="A212" s="1"/>
      <c r="B212" s="1"/>
      <c r="C212" s="1"/>
      <c r="D212" s="1"/>
      <c r="E212" s="1"/>
      <c r="F212" s="111"/>
      <c r="G212" s="1"/>
      <c r="H212" s="1"/>
      <c r="I212" s="1"/>
      <c r="J212" s="1"/>
      <c r="K212" s="1"/>
      <c r="L212" s="1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1"/>
      <c r="AG212" s="1"/>
      <c r="AH212" s="1"/>
      <c r="AI212" s="1"/>
      <c r="AJ212" s="1"/>
      <c r="AK212" s="1"/>
      <c r="AL212" s="1"/>
    </row>
    <row r="213" spans="1:38" ht="15" customHeight="1">
      <c r="A213" s="1"/>
      <c r="B213" s="1"/>
      <c r="C213" s="1"/>
      <c r="D213" s="1"/>
      <c r="E213" s="1"/>
      <c r="F213" s="111"/>
      <c r="G213" s="1"/>
      <c r="H213" s="1"/>
      <c r="I213" s="1"/>
      <c r="J213" s="1"/>
      <c r="K213" s="1"/>
      <c r="L213" s="1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1"/>
      <c r="AG213" s="1"/>
      <c r="AH213" s="1"/>
      <c r="AI213" s="1"/>
      <c r="AJ213" s="1"/>
      <c r="AK213" s="1"/>
      <c r="AL213" s="1"/>
    </row>
    <row r="214" spans="1:38" ht="15" customHeight="1">
      <c r="A214" s="1"/>
      <c r="B214" s="1"/>
      <c r="C214" s="1"/>
      <c r="D214" s="1"/>
      <c r="E214" s="1"/>
      <c r="F214" s="111"/>
      <c r="G214" s="1"/>
      <c r="H214" s="1"/>
      <c r="I214" s="1"/>
      <c r="J214" s="1"/>
      <c r="K214" s="1"/>
      <c r="L214" s="1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1"/>
      <c r="AG214" s="1"/>
      <c r="AH214" s="1"/>
      <c r="AI214" s="1"/>
      <c r="AJ214" s="1"/>
      <c r="AK214" s="1"/>
      <c r="AL214" s="1"/>
    </row>
    <row r="215" spans="1:38" ht="15" customHeight="1">
      <c r="A215" s="1"/>
      <c r="B215" s="1"/>
      <c r="C215" s="1"/>
      <c r="D215" s="1"/>
      <c r="E215" s="1"/>
      <c r="F215" s="111"/>
      <c r="G215" s="1"/>
      <c r="H215" s="1"/>
      <c r="I215" s="1"/>
      <c r="J215" s="1"/>
      <c r="K215" s="1"/>
      <c r="L215" s="1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1"/>
      <c r="AG215" s="1"/>
      <c r="AH215" s="1"/>
      <c r="AI215" s="1"/>
      <c r="AJ215" s="1"/>
      <c r="AK215" s="1"/>
      <c r="AL215" s="1"/>
    </row>
    <row r="216" spans="1:38" ht="15" customHeight="1">
      <c r="A216" s="1"/>
      <c r="B216" s="1"/>
      <c r="C216" s="1"/>
      <c r="D216" s="1"/>
      <c r="E216" s="1"/>
      <c r="F216" s="111"/>
      <c r="G216" s="1"/>
      <c r="H216" s="1"/>
      <c r="I216" s="1"/>
      <c r="J216" s="1"/>
      <c r="K216" s="1"/>
      <c r="L216" s="1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1"/>
      <c r="AG216" s="1"/>
      <c r="AH216" s="1"/>
      <c r="AI216" s="1"/>
      <c r="AJ216" s="1"/>
      <c r="AK216" s="1"/>
      <c r="AL216" s="1"/>
    </row>
    <row r="217" spans="1:38" ht="15" customHeight="1">
      <c r="A217" s="1"/>
      <c r="B217" s="1"/>
      <c r="C217" s="1"/>
      <c r="D217" s="1"/>
      <c r="E217" s="1"/>
      <c r="F217" s="111"/>
      <c r="G217" s="1"/>
      <c r="H217" s="1"/>
      <c r="I217" s="1"/>
      <c r="J217" s="1"/>
      <c r="K217" s="1"/>
      <c r="L217" s="1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1"/>
      <c r="AG217" s="1"/>
      <c r="AH217" s="1"/>
      <c r="AI217" s="1"/>
      <c r="AJ217" s="1"/>
      <c r="AK217" s="1"/>
      <c r="AL217" s="1"/>
    </row>
    <row r="218" spans="1:38" ht="15" customHeight="1">
      <c r="A218" s="1"/>
      <c r="B218" s="1"/>
      <c r="C218" s="1"/>
      <c r="D218" s="1"/>
      <c r="E218" s="1"/>
      <c r="F218" s="111"/>
      <c r="G218" s="1"/>
      <c r="H218" s="1"/>
      <c r="I218" s="1"/>
      <c r="J218" s="1"/>
      <c r="K218" s="1"/>
      <c r="L218" s="1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1"/>
      <c r="AG218" s="1"/>
      <c r="AH218" s="1"/>
      <c r="AI218" s="1"/>
      <c r="AJ218" s="1"/>
      <c r="AK218" s="1"/>
      <c r="AL218" s="1"/>
    </row>
    <row r="219" spans="1:38" ht="15" customHeight="1">
      <c r="A219" s="1"/>
      <c r="B219" s="1"/>
      <c r="C219" s="1"/>
      <c r="D219" s="1"/>
      <c r="E219" s="1"/>
      <c r="F219" s="111"/>
      <c r="G219" s="1"/>
      <c r="H219" s="1"/>
      <c r="I219" s="1"/>
      <c r="J219" s="1"/>
      <c r="K219" s="1"/>
      <c r="L219" s="1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1"/>
      <c r="AG219" s="1"/>
      <c r="AH219" s="1"/>
      <c r="AI219" s="1"/>
      <c r="AJ219" s="1"/>
      <c r="AK219" s="1"/>
      <c r="AL219" s="1"/>
    </row>
    <row r="220" spans="1:38" ht="15" customHeight="1">
      <c r="A220" s="1"/>
      <c r="B220" s="1"/>
      <c r="C220" s="1"/>
      <c r="D220" s="1"/>
      <c r="E220" s="1"/>
      <c r="F220" s="111"/>
      <c r="G220" s="1"/>
      <c r="H220" s="1"/>
      <c r="I220" s="1"/>
      <c r="J220" s="1"/>
      <c r="K220" s="1"/>
      <c r="L220" s="1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1"/>
      <c r="AG220" s="1"/>
      <c r="AH220" s="1"/>
      <c r="AI220" s="1"/>
      <c r="AJ220" s="1"/>
      <c r="AK220" s="1"/>
      <c r="AL220" s="1"/>
    </row>
    <row r="221" spans="1:38" ht="15" customHeight="1">
      <c r="A221" s="1"/>
      <c r="B221" s="1"/>
      <c r="C221" s="1"/>
      <c r="D221" s="1"/>
      <c r="E221" s="1"/>
      <c r="F221" s="111"/>
      <c r="G221" s="1"/>
      <c r="H221" s="1"/>
      <c r="I221" s="1"/>
      <c r="J221" s="1"/>
      <c r="K221" s="1"/>
      <c r="L221" s="1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1"/>
      <c r="AG221" s="1"/>
      <c r="AH221" s="1"/>
      <c r="AI221" s="1"/>
      <c r="AJ221" s="1"/>
      <c r="AK221" s="1"/>
      <c r="AL221" s="1"/>
    </row>
    <row r="222" spans="1:38" ht="15" customHeight="1">
      <c r="A222" s="1"/>
      <c r="B222" s="1"/>
      <c r="C222" s="1"/>
      <c r="D222" s="1"/>
      <c r="E222" s="1"/>
      <c r="F222" s="111"/>
      <c r="G222" s="1"/>
      <c r="H222" s="1"/>
      <c r="I222" s="1"/>
      <c r="J222" s="1"/>
      <c r="K222" s="1"/>
      <c r="L222" s="1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1"/>
      <c r="AG222" s="1"/>
      <c r="AH222" s="1"/>
      <c r="AI222" s="1"/>
      <c r="AJ222" s="1"/>
      <c r="AK222" s="1"/>
      <c r="AL222" s="1"/>
    </row>
    <row r="223" spans="1:38" ht="15" customHeight="1">
      <c r="A223" s="1"/>
      <c r="B223" s="1"/>
      <c r="C223" s="1"/>
      <c r="D223" s="1"/>
      <c r="E223" s="1"/>
      <c r="F223" s="111"/>
      <c r="G223" s="1"/>
      <c r="H223" s="1"/>
      <c r="I223" s="1"/>
      <c r="J223" s="1"/>
      <c r="K223" s="1"/>
      <c r="L223" s="1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1"/>
      <c r="AG223" s="1"/>
      <c r="AH223" s="1"/>
      <c r="AI223" s="1"/>
      <c r="AJ223" s="1"/>
      <c r="AK223" s="1"/>
      <c r="AL223" s="1"/>
    </row>
    <row r="224" spans="1:38" ht="15" customHeight="1">
      <c r="A224" s="1"/>
      <c r="B224" s="1"/>
      <c r="C224" s="1"/>
      <c r="D224" s="1"/>
      <c r="E224" s="1"/>
      <c r="F224" s="111"/>
      <c r="G224" s="1"/>
      <c r="H224" s="1"/>
      <c r="I224" s="1"/>
      <c r="J224" s="1"/>
      <c r="K224" s="1"/>
      <c r="L224" s="1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1"/>
      <c r="AG224" s="1"/>
      <c r="AH224" s="1"/>
      <c r="AI224" s="1"/>
      <c r="AJ224" s="1"/>
      <c r="AK224" s="1"/>
      <c r="AL224" s="1"/>
    </row>
    <row r="225" spans="1:38" ht="15" customHeight="1">
      <c r="A225" s="1"/>
      <c r="B225" s="1"/>
      <c r="C225" s="1"/>
      <c r="D225" s="1"/>
      <c r="E225" s="1"/>
      <c r="F225" s="111"/>
      <c r="G225" s="1"/>
      <c r="H225" s="1"/>
      <c r="I225" s="1"/>
      <c r="J225" s="1"/>
      <c r="K225" s="1"/>
      <c r="L225" s="1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1"/>
      <c r="AG225" s="1"/>
      <c r="AH225" s="1"/>
      <c r="AI225" s="1"/>
      <c r="AJ225" s="1"/>
      <c r="AK225" s="1"/>
      <c r="AL225" s="1"/>
    </row>
    <row r="226" spans="1:38" ht="15" customHeight="1">
      <c r="A226" s="1"/>
      <c r="B226" s="1"/>
      <c r="C226" s="1"/>
      <c r="D226" s="1"/>
      <c r="E226" s="1"/>
      <c r="F226" s="111"/>
      <c r="G226" s="1"/>
      <c r="H226" s="1"/>
      <c r="I226" s="1"/>
      <c r="J226" s="1"/>
      <c r="K226" s="1"/>
      <c r="L226" s="1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1"/>
      <c r="AG226" s="1"/>
      <c r="AH226" s="1"/>
      <c r="AI226" s="1"/>
      <c r="AJ226" s="1"/>
      <c r="AK226" s="1"/>
      <c r="AL226" s="1"/>
    </row>
    <row r="227" spans="1:38" ht="15" customHeight="1">
      <c r="A227" s="1"/>
      <c r="B227" s="1"/>
      <c r="C227" s="1"/>
      <c r="D227" s="1"/>
      <c r="E227" s="1"/>
      <c r="F227" s="111"/>
      <c r="G227" s="1"/>
      <c r="H227" s="1"/>
      <c r="I227" s="1"/>
      <c r="J227" s="1"/>
      <c r="K227" s="1"/>
      <c r="L227" s="1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1"/>
      <c r="AG227" s="1"/>
      <c r="AH227" s="1"/>
      <c r="AI227" s="1"/>
      <c r="AJ227" s="1"/>
      <c r="AK227" s="1"/>
      <c r="AL227" s="1"/>
    </row>
    <row r="228" spans="1:38" ht="15" customHeight="1">
      <c r="A228" s="1"/>
      <c r="B228" s="1"/>
      <c r="C228" s="1"/>
      <c r="D228" s="1"/>
      <c r="E228" s="1"/>
      <c r="F228" s="111"/>
      <c r="G228" s="1"/>
      <c r="H228" s="1"/>
      <c r="I228" s="1"/>
      <c r="J228" s="1"/>
      <c r="K228" s="1"/>
      <c r="L228" s="1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1"/>
      <c r="AG228" s="1"/>
      <c r="AH228" s="1"/>
      <c r="AI228" s="1"/>
      <c r="AJ228" s="1"/>
      <c r="AK228" s="1"/>
      <c r="AL228" s="1"/>
    </row>
    <row r="229" spans="1:38" ht="15" customHeight="1">
      <c r="A229" s="1"/>
      <c r="B229" s="1"/>
      <c r="C229" s="1"/>
      <c r="D229" s="1"/>
      <c r="E229" s="1"/>
      <c r="F229" s="111"/>
      <c r="G229" s="1"/>
      <c r="H229" s="1"/>
      <c r="I229" s="1"/>
      <c r="J229" s="1"/>
      <c r="K229" s="1"/>
      <c r="L229" s="1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1"/>
      <c r="AG229" s="1"/>
      <c r="AH229" s="1"/>
      <c r="AI229" s="1"/>
      <c r="AJ229" s="1"/>
      <c r="AK229" s="1"/>
      <c r="AL229" s="1"/>
    </row>
    <row r="230" spans="1:38" ht="15" customHeight="1">
      <c r="A230" s="1"/>
      <c r="B230" s="1"/>
      <c r="C230" s="1"/>
      <c r="D230" s="1"/>
      <c r="E230" s="1"/>
      <c r="F230" s="111"/>
      <c r="G230" s="1"/>
      <c r="H230" s="1"/>
      <c r="I230" s="1"/>
      <c r="J230" s="1"/>
      <c r="K230" s="1"/>
      <c r="L230" s="1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1"/>
      <c r="AG230" s="1"/>
      <c r="AH230" s="1"/>
      <c r="AI230" s="1"/>
      <c r="AJ230" s="1"/>
      <c r="AK230" s="1"/>
      <c r="AL230" s="1"/>
    </row>
    <row r="231" spans="1:38" ht="15" customHeight="1">
      <c r="A231" s="1"/>
      <c r="B231" s="1"/>
      <c r="C231" s="1"/>
      <c r="D231" s="1"/>
      <c r="E231" s="1"/>
      <c r="F231" s="111"/>
      <c r="G231" s="1"/>
      <c r="H231" s="1"/>
      <c r="I231" s="1"/>
      <c r="J231" s="1"/>
      <c r="K231" s="1"/>
      <c r="L231" s="1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1"/>
      <c r="AG231" s="1"/>
      <c r="AH231" s="1"/>
      <c r="AI231" s="1"/>
      <c r="AJ231" s="1"/>
      <c r="AK231" s="1"/>
      <c r="AL231" s="1"/>
    </row>
    <row r="232" spans="1:38" ht="15" customHeight="1">
      <c r="A232" s="1"/>
      <c r="B232" s="1"/>
      <c r="C232" s="1"/>
      <c r="D232" s="1"/>
      <c r="E232" s="1"/>
      <c r="F232" s="111"/>
      <c r="G232" s="1"/>
      <c r="H232" s="1"/>
      <c r="I232" s="1"/>
      <c r="J232" s="1"/>
      <c r="K232" s="1"/>
      <c r="L232" s="1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1"/>
      <c r="AG232" s="1"/>
      <c r="AH232" s="1"/>
      <c r="AI232" s="1"/>
      <c r="AJ232" s="1"/>
      <c r="AK232" s="1"/>
      <c r="AL232" s="1"/>
    </row>
    <row r="233" spans="1:38" ht="15" customHeight="1">
      <c r="A233" s="1"/>
      <c r="B233" s="1"/>
      <c r="C233" s="1"/>
      <c r="D233" s="1"/>
      <c r="E233" s="1"/>
      <c r="F233" s="111"/>
      <c r="G233" s="1"/>
      <c r="H233" s="1"/>
      <c r="I233" s="1"/>
      <c r="J233" s="1"/>
      <c r="K233" s="1"/>
      <c r="L233" s="1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1"/>
      <c r="AG233" s="1"/>
      <c r="AH233" s="1"/>
      <c r="AI233" s="1"/>
      <c r="AJ233" s="1"/>
      <c r="AK233" s="1"/>
      <c r="AL233" s="1"/>
    </row>
    <row r="234" spans="1:38" ht="15" customHeight="1">
      <c r="A234" s="1"/>
      <c r="B234" s="1"/>
      <c r="C234" s="1"/>
      <c r="D234" s="1"/>
      <c r="E234" s="1"/>
      <c r="F234" s="111"/>
      <c r="G234" s="1"/>
      <c r="H234" s="1"/>
      <c r="I234" s="1"/>
      <c r="J234" s="1"/>
      <c r="K234" s="1"/>
      <c r="L234" s="1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1"/>
      <c r="AG234" s="1"/>
      <c r="AH234" s="1"/>
      <c r="AI234" s="1"/>
      <c r="AJ234" s="1"/>
      <c r="AK234" s="1"/>
      <c r="AL234" s="1"/>
    </row>
    <row r="235" spans="1:38" ht="15" customHeight="1">
      <c r="A235" s="1"/>
      <c r="B235" s="1"/>
      <c r="C235" s="1"/>
      <c r="D235" s="1"/>
      <c r="E235" s="1"/>
      <c r="F235" s="111"/>
      <c r="G235" s="1"/>
      <c r="H235" s="1"/>
      <c r="I235" s="1"/>
      <c r="J235" s="1"/>
      <c r="K235" s="1"/>
      <c r="L235" s="1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1"/>
      <c r="AG235" s="1"/>
      <c r="AH235" s="1"/>
      <c r="AI235" s="1"/>
      <c r="AJ235" s="1"/>
      <c r="AK235" s="1"/>
      <c r="AL235" s="1"/>
    </row>
    <row r="236" spans="1:38" ht="15" customHeight="1">
      <c r="A236" s="1"/>
      <c r="B236" s="1"/>
      <c r="C236" s="1"/>
      <c r="D236" s="1"/>
      <c r="E236" s="1"/>
      <c r="F236" s="111"/>
      <c r="G236" s="1"/>
      <c r="H236" s="1"/>
      <c r="I236" s="1"/>
      <c r="J236" s="1"/>
      <c r="K236" s="1"/>
      <c r="L236" s="1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1"/>
      <c r="AG236" s="1"/>
      <c r="AH236" s="1"/>
      <c r="AI236" s="1"/>
      <c r="AJ236" s="1"/>
      <c r="AK236" s="1"/>
      <c r="AL236" s="1"/>
    </row>
    <row r="237" spans="1:38" ht="15" customHeight="1">
      <c r="A237" s="1"/>
      <c r="B237" s="1"/>
      <c r="C237" s="1"/>
      <c r="D237" s="1"/>
      <c r="E237" s="1"/>
      <c r="F237" s="111"/>
      <c r="G237" s="1"/>
      <c r="H237" s="1"/>
      <c r="I237" s="1"/>
      <c r="J237" s="1"/>
      <c r="K237" s="1"/>
      <c r="L237" s="1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1"/>
      <c r="AG237" s="1"/>
      <c r="AH237" s="1"/>
      <c r="AI237" s="1"/>
      <c r="AJ237" s="1"/>
      <c r="AK237" s="1"/>
      <c r="AL237" s="1"/>
    </row>
    <row r="238" spans="1:38" ht="15" customHeight="1">
      <c r="A238" s="1"/>
      <c r="B238" s="1"/>
      <c r="C238" s="1"/>
      <c r="D238" s="1"/>
      <c r="E238" s="1"/>
      <c r="F238" s="111"/>
      <c r="G238" s="1"/>
      <c r="H238" s="1"/>
      <c r="I238" s="1"/>
      <c r="J238" s="1"/>
      <c r="K238" s="1"/>
      <c r="L238" s="1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1"/>
      <c r="AG238" s="1"/>
      <c r="AH238" s="1"/>
      <c r="AI238" s="1"/>
      <c r="AJ238" s="1"/>
      <c r="AK238" s="1"/>
      <c r="AL238" s="1"/>
    </row>
    <row r="239" spans="1:38" ht="15" customHeight="1">
      <c r="A239" s="1"/>
      <c r="B239" s="1"/>
      <c r="C239" s="1"/>
      <c r="D239" s="1"/>
      <c r="E239" s="1"/>
      <c r="F239" s="111"/>
      <c r="G239" s="1"/>
      <c r="H239" s="1"/>
      <c r="I239" s="1"/>
      <c r="J239" s="1"/>
      <c r="K239" s="1"/>
      <c r="L239" s="1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1"/>
      <c r="AG239" s="1"/>
      <c r="AH239" s="1"/>
      <c r="AI239" s="1"/>
      <c r="AJ239" s="1"/>
      <c r="AK239" s="1"/>
      <c r="AL239" s="1"/>
    </row>
    <row r="240" spans="1:3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8">
    <mergeCell ref="D39:H39"/>
    <mergeCell ref="I39:M39"/>
    <mergeCell ref="O36:AC36"/>
    <mergeCell ref="AD36:AD38"/>
    <mergeCell ref="AE36:AE38"/>
    <mergeCell ref="AF36:AF38"/>
    <mergeCell ref="E37:F37"/>
    <mergeCell ref="J37:K37"/>
    <mergeCell ref="O37:R37"/>
    <mergeCell ref="S37:S38"/>
    <mergeCell ref="T37:AC37"/>
    <mergeCell ref="E38:F38"/>
    <mergeCell ref="J38:K38"/>
    <mergeCell ref="D36:D38"/>
    <mergeCell ref="E36:F36"/>
    <mergeCell ref="I36:I38"/>
    <mergeCell ref="J36:K36"/>
    <mergeCell ref="N36:N38"/>
    <mergeCell ref="J34:K34"/>
    <mergeCell ref="L34:M34"/>
    <mergeCell ref="O34:R34"/>
    <mergeCell ref="T34:AC34"/>
    <mergeCell ref="D35:E35"/>
    <mergeCell ref="F35:G35"/>
    <mergeCell ref="H35:I35"/>
    <mergeCell ref="J35:K35"/>
    <mergeCell ref="A33:C35"/>
    <mergeCell ref="D33:E33"/>
    <mergeCell ref="D34:E34"/>
    <mergeCell ref="F34:G34"/>
    <mergeCell ref="H34:I34"/>
    <mergeCell ref="O2:S2"/>
    <mergeCell ref="T2:AD2"/>
    <mergeCell ref="AE2:AE4"/>
    <mergeCell ref="AF2:AF4"/>
    <mergeCell ref="F3:G3"/>
    <mergeCell ref="H3:K3"/>
    <mergeCell ref="O3:S3"/>
    <mergeCell ref="T3:AD3"/>
    <mergeCell ref="A1:G1"/>
    <mergeCell ref="H1:I1"/>
    <mergeCell ref="A2:A4"/>
    <mergeCell ref="B2:B4"/>
    <mergeCell ref="C2:C4"/>
    <mergeCell ref="D2:D4"/>
    <mergeCell ref="E2:E4"/>
    <mergeCell ref="F2:G2"/>
    <mergeCell ref="H2:K2"/>
  </mergeCells>
  <pageMargins left="0.7" right="0.7" top="0.75" bottom="0.75" header="0" footer="0"/>
  <pageSetup paperSize="9" fitToWidth="0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9" defaultRowHeight="15" customHeight="1"/>
  <cols>
    <col min="1" max="7" width="8" bestFit="1" customWidth="1"/>
    <col min="8" max="256" width="14" bestFit="1" customWidth="1"/>
  </cols>
  <sheetData>
    <row r="1" spans="1:7" ht="15" customHeight="1">
      <c r="A1" s="119">
        <v>11</v>
      </c>
      <c r="B1" s="119">
        <v>12</v>
      </c>
      <c r="C1" s="119">
        <v>13</v>
      </c>
      <c r="D1" s="119">
        <v>14</v>
      </c>
      <c r="E1" s="119">
        <v>15</v>
      </c>
      <c r="F1" s="119">
        <v>16</v>
      </c>
      <c r="G1" s="119">
        <v>17</v>
      </c>
    </row>
    <row r="2" spans="1:7" ht="15" customHeight="1">
      <c r="A2" s="100" t="e">
        <f>IF(#REF!&gt;3,#REF!-2,IF(#REF!=0,0.2,#REF!)/3*IF(#REF!&gt;3,#REF!-2,IF(#REF!=0,0.2,#REF!))+IF(#REF!&gt;3,#REF!-2,IF(#REF!=0,0.2,#REF!))/3*IF(#REF!&gt;3,#REF!-2,IF(#REF!=0,0.2,#REF!)))</f>
        <v>#REF!</v>
      </c>
      <c r="B2" s="100" t="e">
        <f>IF(#REF!&gt;3,#REF!-2,IF(#REF!=0,0.2,#REF!)/3*IF(#REF!&gt;3,#REF!-2,IF(#REF!=0,0.2,#REF!))+IF(#REF!&gt;3,#REF!-2,IF(#REF!=0,0.2,#REF!))/3*IF(#REF!&gt;3,#REF!-2,IF(#REF!=0,0.2,#REF!)))</f>
        <v>#REF!</v>
      </c>
      <c r="C2" s="100" t="e">
        <f>IF(#REF!&gt;3,#REF!-2,IF(#REF!=0,0.2,#REF!)/3*IF(#REF!&gt;3,#REF!-2,IF(#REF!=0,0.2,#REF!))+IF(#REF!&gt;3,#REF!-2,IF(#REF!=0,0.2,#REF!))/3*IF(#REF!&gt;3,#REF!-2,IF(#REF!=0,0.2,#REF!)))</f>
        <v>#REF!</v>
      </c>
      <c r="D2" s="100" t="e">
        <f>IF(#REF!&gt;3,#REF!-2,IF(#REF!=0,0.2,#REF!)/3*IF(#REF!&gt;3,#REF!-2,IF(#REF!=0,0.2,#REF!))+IF(#REF!&gt;3,#REF!-2,IF(#REF!=0,0.2,#REF!))/3*IF(#REF!&gt;3,#REF!-2,IF(#REF!=0,0.2,#REF!)))</f>
        <v>#REF!</v>
      </c>
      <c r="E2" s="100" t="e">
        <f>IF(#REF!&gt;3,#REF!-2,IF(#REF!=0,0.2,#REF!)/3*IF(#REF!&gt;3,#REF!-2,IF(#REF!=0,0.2,#REF!))+IF(#REF!&gt;3,#REF!-2,IF(#REF!=0,0.2,#REF!))/3*IF(#REF!&gt;3,#REF!-2,IF(#REF!=0,0.2,#REF!)))</f>
        <v>#REF!</v>
      </c>
      <c r="F2" s="100" t="e">
        <f>IF(#REF!&gt;3,#REF!-2,IF(#REF!=0,0.2,#REF!)/3*IF(#REF!&gt;3,#REF!-2,IF(#REF!=0,0.2,#REF!))+IF(#REF!&gt;3,#REF!-2,IF(#REF!=0,0.2,#REF!))/3*IF(#REF!&gt;3,#REF!-2,IF(#REF!=0,0.2,#REF!)))</f>
        <v>#REF!</v>
      </c>
      <c r="G2" s="100" t="e">
        <f>IF(#REF!&gt;3,#REF!-2,IF(#REF!=0,0.2,#REF!)/3*IF(#REF!&gt;3,#REF!-2,IF(#REF!=0,0.2,#REF!))+IF(#REF!&gt;3,#REF!-2,IF(#REF!=0,0.2,#REF!))/3*IF(#REF!&gt;3,#REF!-2,IF(#REF!=0,0.2,#REF!)))</f>
        <v>#REF!</v>
      </c>
    </row>
    <row r="3" spans="1:7" ht="15" customHeight="1">
      <c r="A3" s="100" t="e">
        <f>IF(#REF!&gt;3,#REF!-2,IF(#REF!=0,0.2,#REF!)/3*IF(#REF!&gt;3,#REF!-2,IF(#REF!=0,0.2,#REF!))+IF(#REF!&gt;3,#REF!-2,IF(#REF!=0,0.2,#REF!))/3*IF(#REF!&gt;3,#REF!-2,IF(#REF!=0,0.2,#REF!)))</f>
        <v>#REF!</v>
      </c>
      <c r="B3" s="100" t="e">
        <f>IF(#REF!&gt;3,#REF!-2,IF(#REF!=0,0.2,#REF!)/3*IF(#REF!&gt;3,#REF!-2,IF(#REF!=0,0.2,#REF!))+IF(#REF!&gt;3,#REF!-2,IF(#REF!=0,0.2,#REF!))/3*IF(#REF!&gt;3,#REF!-2,IF(#REF!=0,0.2,#REF!)))</f>
        <v>#REF!</v>
      </c>
      <c r="C3" s="100" t="e">
        <f>IF(#REF!&gt;3,#REF!-2,IF(#REF!=0,0.2,#REF!)/3*IF(#REF!&gt;3,#REF!-2,IF(#REF!=0,0.2,#REF!))+IF(#REF!&gt;3,#REF!-2,IF(#REF!=0,0.2,#REF!))/3*IF(#REF!&gt;3,#REF!-2,IF(#REF!=0,0.2,#REF!)))</f>
        <v>#REF!</v>
      </c>
      <c r="D3" s="100" t="e">
        <f>IF(#REF!&gt;3,#REF!-2,IF(#REF!=0,0.2,#REF!)/3*IF(#REF!&gt;3,#REF!-2,IF(#REF!=0,0.2,#REF!))+IF(#REF!&gt;3,#REF!-2,IF(#REF!=0,0.2,#REF!))/3*IF(#REF!&gt;3,#REF!-2,IF(#REF!=0,0.2,#REF!)))</f>
        <v>#REF!</v>
      </c>
      <c r="E3" s="100" t="e">
        <f>IF(#REF!&gt;3,#REF!-2,IF(#REF!=0,0.2,#REF!)/3*IF(#REF!&gt;3,#REF!-2,IF(#REF!=0,0.2,#REF!))+IF(#REF!&gt;3,#REF!-2,IF(#REF!=0,0.2,#REF!))/3*IF(#REF!&gt;3,#REF!-2,IF(#REF!=0,0.2,#REF!)))</f>
        <v>#REF!</v>
      </c>
      <c r="F3" s="100" t="e">
        <f>IF(#REF!&gt;3,#REF!-2,IF(#REF!=0,0.2,#REF!)/3*IF(#REF!&gt;3,#REF!-2,IF(#REF!=0,0.2,#REF!))+IF(#REF!&gt;3,#REF!-2,IF(#REF!=0,0.2,#REF!))/3*IF(#REF!&gt;3,#REF!-2,IF(#REF!=0,0.2,#REF!)))</f>
        <v>#REF!</v>
      </c>
      <c r="G3" s="100" t="e">
        <f>IF(#REF!&gt;3,#REF!-2,IF(#REF!=0,0.2,#REF!)/3*IF(#REF!&gt;3,#REF!-2,IF(#REF!=0,0.2,#REF!))+IF(#REF!&gt;3,#REF!-2,IF(#REF!=0,0.2,#REF!))/3*IF(#REF!&gt;3,#REF!-2,IF(#REF!=0,0.2,#REF!)))</f>
        <v>#REF!</v>
      </c>
    </row>
    <row r="4" spans="1:7" ht="15" customHeight="1">
      <c r="A4" s="100" t="e">
        <f>IF(#REF!&gt;3,#REF!-2,IF(#REF!=0,0.2,#REF!)/3*IF(#REF!&gt;3,#REF!-2,IF(#REF!=0,0.2,#REF!))+IF(#REF!&gt;3,#REF!-2,IF(#REF!=0,0.2,#REF!))/3*IF(#REF!&gt;3,#REF!-2,IF(#REF!=0,0.2,#REF!)))</f>
        <v>#REF!</v>
      </c>
      <c r="B4" s="100" t="e">
        <f>IF(#REF!&gt;3,#REF!-2,IF(#REF!=0,0.2,#REF!)/3*IF(#REF!&gt;3,#REF!-2,IF(#REF!=0,0.2,#REF!))+IF(#REF!&gt;3,#REF!-2,IF(#REF!=0,0.2,#REF!))/3*IF(#REF!&gt;3,#REF!-2,IF(#REF!=0,0.2,#REF!)))</f>
        <v>#REF!</v>
      </c>
      <c r="C4" s="100" t="e">
        <f>IF(#REF!&gt;3,#REF!-2,IF(#REF!=0,0.2,#REF!)/3*IF(#REF!&gt;3,#REF!-2,IF(#REF!=0,0.2,#REF!))+IF(#REF!&gt;3,#REF!-2,IF(#REF!=0,0.2,#REF!))/3*IF(#REF!&gt;3,#REF!-2,IF(#REF!=0,0.2,#REF!)))</f>
        <v>#REF!</v>
      </c>
      <c r="D4" s="100" t="e">
        <f>IF(#REF!&gt;3,#REF!-2,IF(#REF!=0,0.2,#REF!)/3*IF(#REF!&gt;3,#REF!-2,IF(#REF!=0,0.2,#REF!))+IF(#REF!&gt;3,#REF!-2,IF(#REF!=0,0.2,#REF!))/3*IF(#REF!&gt;3,#REF!-2,IF(#REF!=0,0.2,#REF!)))</f>
        <v>#REF!</v>
      </c>
      <c r="E4" s="100" t="e">
        <f>IF(#REF!&gt;3,#REF!-2,IF(#REF!=0,0.2,#REF!)/3*IF(#REF!&gt;3,#REF!-2,IF(#REF!=0,0.2,#REF!))+IF(#REF!&gt;3,#REF!-2,IF(#REF!=0,0.2,#REF!))/3*IF(#REF!&gt;3,#REF!-2,IF(#REF!=0,0.2,#REF!)))</f>
        <v>#REF!</v>
      </c>
      <c r="F4" s="100" t="e">
        <f>IF(#REF!&gt;3,#REF!-2,IF(#REF!=0,0.2,#REF!)/3*IF(#REF!&gt;3,#REF!-2,IF(#REF!=0,0.2,#REF!))+IF(#REF!&gt;3,#REF!-2,IF(#REF!=0,0.2,#REF!))/3*IF(#REF!&gt;3,#REF!-2,IF(#REF!=0,0.2,#REF!)))</f>
        <v>#REF!</v>
      </c>
      <c r="G4" s="100" t="e">
        <f>IF(#REF!&gt;3,#REF!-2,IF(#REF!=0,0.2,#REF!)/3*IF(#REF!&gt;3,#REF!-2,IF(#REF!=0,0.2,#REF!))+IF(#REF!&gt;3,#REF!-2,IF(#REF!=0,0.2,#REF!))/3*IF(#REF!&gt;3,#REF!-2,IF(#REF!=0,0.2,#REF!)))</f>
        <v>#REF!</v>
      </c>
    </row>
    <row r="5" spans="1:7" ht="15" customHeight="1">
      <c r="A5" s="100" t="e">
        <f>IF(#REF!&gt;3,#REF!-2,IF(#REF!=0,0.2,#REF!)/3*IF(#REF!&gt;3,#REF!-2,IF(#REF!=0,0.2,#REF!))+IF(#REF!&gt;3,#REF!-2,IF(#REF!=0,0.2,#REF!))/3*IF(#REF!&gt;3,#REF!-2,IF(#REF!=0,0.2,#REF!)))</f>
        <v>#REF!</v>
      </c>
      <c r="B5" s="100" t="e">
        <f>IF(#REF!&gt;3,#REF!-2,IF(#REF!=0,0.2,#REF!)/3*IF(#REF!&gt;3,#REF!-2,IF(#REF!=0,0.2,#REF!))+IF(#REF!&gt;3,#REF!-2,IF(#REF!=0,0.2,#REF!))/3*IF(#REF!&gt;3,#REF!-2,IF(#REF!=0,0.2,#REF!)))</f>
        <v>#REF!</v>
      </c>
      <c r="C5" s="100" t="e">
        <f>IF(#REF!&gt;3,#REF!-2,IF(#REF!=0,0.2,#REF!)/3*IF(#REF!&gt;3,#REF!-2,IF(#REF!=0,0.2,#REF!))+IF(#REF!&gt;3,#REF!-2,IF(#REF!=0,0.2,#REF!))/3*IF(#REF!&gt;3,#REF!-2,IF(#REF!=0,0.2,#REF!)))</f>
        <v>#REF!</v>
      </c>
      <c r="D5" s="100" t="e">
        <f>IF(#REF!&gt;3,#REF!-2,IF(#REF!=0,0.2,#REF!)/3*IF(#REF!&gt;3,#REF!-2,IF(#REF!=0,0.2,#REF!))+IF(#REF!&gt;3,#REF!-2,IF(#REF!=0,0.2,#REF!))/3*IF(#REF!&gt;3,#REF!-2,IF(#REF!=0,0.2,#REF!)))</f>
        <v>#REF!</v>
      </c>
      <c r="E5" s="100" t="e">
        <f>IF(#REF!&gt;3,#REF!-2,IF(#REF!=0,0.2,#REF!)/3*IF(#REF!&gt;3,#REF!-2,IF(#REF!=0,0.2,#REF!))+IF(#REF!&gt;3,#REF!-2,IF(#REF!=0,0.2,#REF!))/3*IF(#REF!&gt;3,#REF!-2,IF(#REF!=0,0.2,#REF!)))</f>
        <v>#REF!</v>
      </c>
      <c r="F5" s="100" t="e">
        <f>IF(#REF!&gt;3,#REF!-2,IF(#REF!=0,0.2,#REF!)/3*IF(#REF!&gt;3,#REF!-2,IF(#REF!=0,0.2,#REF!))+IF(#REF!&gt;3,#REF!-2,IF(#REF!=0,0.2,#REF!))/3*IF(#REF!&gt;3,#REF!-2,IF(#REF!=0,0.2,#REF!)))</f>
        <v>#REF!</v>
      </c>
      <c r="G5" s="100" t="e">
        <f>IF(#REF!&gt;3,#REF!-2,IF(#REF!=0,0.2,#REF!)/3*IF(#REF!&gt;3,#REF!-2,IF(#REF!=0,0.2,#REF!))+IF(#REF!&gt;3,#REF!-2,IF(#REF!=0,0.2,#REF!))/3*IF(#REF!&gt;3,#REF!-2,IF(#REF!=0,0.2,#REF!)))</f>
        <v>#REF!</v>
      </c>
    </row>
    <row r="6" spans="1:7" ht="15" customHeight="1">
      <c r="A6" s="100" t="e">
        <f>IF(#REF!&gt;3,#REF!-2,IF(#REF!=0,0.2,#REF!)/3*IF(#REF!&gt;3,#REF!-2,IF(#REF!=0,0.2,#REF!))+IF(#REF!&gt;3,#REF!-2,IF(#REF!=0,0.2,#REF!))/3*IF(#REF!&gt;3,#REF!-2,IF(#REF!=0,0.2,#REF!)))</f>
        <v>#REF!</v>
      </c>
      <c r="B6" s="100" t="e">
        <f>IF(#REF!&gt;3,#REF!-2,IF(#REF!=0,0.2,#REF!)/3*IF(#REF!&gt;3,#REF!-2,IF(#REF!=0,0.2,#REF!))+IF(#REF!&gt;3,#REF!-2,IF(#REF!=0,0.2,#REF!))/3*IF(#REF!&gt;3,#REF!-2,IF(#REF!=0,0.2,#REF!)))</f>
        <v>#REF!</v>
      </c>
      <c r="C6" s="100" t="e">
        <f>IF(#REF!&gt;3,#REF!-2,IF(#REF!=0,0.2,#REF!)/3*IF(#REF!&gt;3,#REF!-2,IF(#REF!=0,0.2,#REF!))+IF(#REF!&gt;3,#REF!-2,IF(#REF!=0,0.2,#REF!))/3*IF(#REF!&gt;3,#REF!-2,IF(#REF!=0,0.2,#REF!)))</f>
        <v>#REF!</v>
      </c>
      <c r="D6" s="100" t="e">
        <f>IF(#REF!&gt;3,#REF!-2,IF(#REF!=0,0.2,#REF!)/3*IF(#REF!&gt;3,#REF!-2,IF(#REF!=0,0.2,#REF!))+IF(#REF!&gt;3,#REF!-2,IF(#REF!=0,0.2,#REF!))/3*IF(#REF!&gt;3,#REF!-2,IF(#REF!=0,0.2,#REF!)))</f>
        <v>#REF!</v>
      </c>
      <c r="E6" s="100" t="e">
        <f>IF(#REF!&gt;3,#REF!-2,IF(#REF!=0,0.2,#REF!)/3*IF(#REF!&gt;3,#REF!-2,IF(#REF!=0,0.2,#REF!))+IF(#REF!&gt;3,#REF!-2,IF(#REF!=0,0.2,#REF!))/3*IF(#REF!&gt;3,#REF!-2,IF(#REF!=0,0.2,#REF!)))</f>
        <v>#REF!</v>
      </c>
      <c r="F6" s="100" t="e">
        <f>IF(#REF!&gt;3,#REF!-2,IF(#REF!=0,0.2,#REF!)/3*IF(#REF!&gt;3,#REF!-2,IF(#REF!=0,0.2,#REF!))+IF(#REF!&gt;3,#REF!-2,IF(#REF!=0,0.2,#REF!))/3*IF(#REF!&gt;3,#REF!-2,IF(#REF!=0,0.2,#REF!)))</f>
        <v>#REF!</v>
      </c>
      <c r="G6" s="100" t="e">
        <f>IF(#REF!&gt;3,#REF!-2,IF(#REF!=0,0.2,#REF!)/3*IF(#REF!&gt;3,#REF!-2,IF(#REF!=0,0.2,#REF!))+IF(#REF!&gt;3,#REF!-2,IF(#REF!=0,0.2,#REF!))/3*IF(#REF!&gt;3,#REF!-2,IF(#REF!=0,0.2,#REF!)))</f>
        <v>#REF!</v>
      </c>
    </row>
    <row r="7" spans="1:7" ht="15" customHeight="1">
      <c r="A7" s="100" t="e">
        <f>IF(#REF!&gt;3,#REF!-2,IF(#REF!=0,0.2,#REF!)/3*IF(#REF!&gt;3,#REF!-2,IF(#REF!=0,0.2,#REF!))+IF(#REF!&gt;3,#REF!-2,IF(#REF!=0,0.2,#REF!))/3*IF(#REF!&gt;3,#REF!-2,IF(#REF!=0,0.2,#REF!)))</f>
        <v>#REF!</v>
      </c>
      <c r="B7" s="100" t="e">
        <f>IF(#REF!&gt;3,#REF!-2,IF(#REF!=0,0.2,#REF!)/3*IF(#REF!&gt;3,#REF!-2,IF(#REF!=0,0.2,#REF!))+IF(#REF!&gt;3,#REF!-2,IF(#REF!=0,0.2,#REF!))/3*IF(#REF!&gt;3,#REF!-2,IF(#REF!=0,0.2,#REF!)))</f>
        <v>#REF!</v>
      </c>
      <c r="C7" s="100" t="e">
        <f>IF(#REF!&gt;3,#REF!-2,IF(#REF!=0,0.2,#REF!)/3*IF(#REF!&gt;3,#REF!-2,IF(#REF!=0,0.2,#REF!))+IF(#REF!&gt;3,#REF!-2,IF(#REF!=0,0.2,#REF!))/3*IF(#REF!&gt;3,#REF!-2,IF(#REF!=0,0.2,#REF!)))</f>
        <v>#REF!</v>
      </c>
      <c r="D7" s="100" t="e">
        <f>IF(#REF!&gt;3,#REF!-2,IF(#REF!=0,0.2,#REF!)/3*IF(#REF!&gt;3,#REF!-2,IF(#REF!=0,0.2,#REF!))+IF(#REF!&gt;3,#REF!-2,IF(#REF!=0,0.2,#REF!))/3*IF(#REF!&gt;3,#REF!-2,IF(#REF!=0,0.2,#REF!)))</f>
        <v>#REF!</v>
      </c>
      <c r="E7" s="100" t="e">
        <f>IF(#REF!&gt;3,#REF!-2,IF(#REF!=0,0.2,#REF!)/3*IF(#REF!&gt;3,#REF!-2,IF(#REF!=0,0.2,#REF!))+IF(#REF!&gt;3,#REF!-2,IF(#REF!=0,0.2,#REF!))/3*IF(#REF!&gt;3,#REF!-2,IF(#REF!=0,0.2,#REF!)))</f>
        <v>#REF!</v>
      </c>
      <c r="F7" s="100" t="e">
        <f>IF(#REF!&gt;3,#REF!-2,IF(#REF!=0,0.2,#REF!)/3*IF(#REF!&gt;3,#REF!-2,IF(#REF!=0,0.2,#REF!))+IF(#REF!&gt;3,#REF!-2,IF(#REF!=0,0.2,#REF!))/3*IF(#REF!&gt;3,#REF!-2,IF(#REF!=0,0.2,#REF!)))</f>
        <v>#REF!</v>
      </c>
      <c r="G7" s="100" t="e">
        <f>IF(#REF!&gt;3,#REF!-2,IF(#REF!=0,0.2,#REF!)/3*IF(#REF!&gt;3,#REF!-2,IF(#REF!=0,0.2,#REF!))+IF(#REF!&gt;3,#REF!-2,IF(#REF!=0,0.2,#REF!))/3*IF(#REF!&gt;3,#REF!-2,IF(#REF!=0,0.2,#REF!)))</f>
        <v>#REF!</v>
      </c>
    </row>
    <row r="8" spans="1:7" ht="15" customHeight="1">
      <c r="A8" s="100" t="e">
        <f>IF(#REF!&gt;3,#REF!-2,IF(#REF!=0,0.2,#REF!)/3*IF(#REF!&gt;3,#REF!-2,IF(#REF!=0,0.2,#REF!))+IF(#REF!&gt;3,#REF!-2,IF(#REF!=0,0.2,#REF!))/3*IF(#REF!&gt;3,#REF!-2,IF(#REF!=0,0.2,#REF!)))</f>
        <v>#REF!</v>
      </c>
      <c r="B8" s="100" t="e">
        <f>IF(#REF!&gt;3,#REF!-2,IF(#REF!=0,0.2,#REF!)/3*IF(#REF!&gt;3,#REF!-2,IF(#REF!=0,0.2,#REF!))+IF(#REF!&gt;3,#REF!-2,IF(#REF!=0,0.2,#REF!))/3*IF(#REF!&gt;3,#REF!-2,IF(#REF!=0,0.2,#REF!)))</f>
        <v>#REF!</v>
      </c>
      <c r="C8" s="100" t="e">
        <f>IF(#REF!&gt;3,#REF!-2,IF(#REF!=0,0.2,#REF!)/3*IF(#REF!&gt;3,#REF!-2,IF(#REF!=0,0.2,#REF!))+IF(#REF!&gt;3,#REF!-2,IF(#REF!=0,0.2,#REF!))/3*IF(#REF!&gt;3,#REF!-2,IF(#REF!=0,0.2,#REF!)))</f>
        <v>#REF!</v>
      </c>
      <c r="D8" s="100" t="e">
        <f>IF(#REF!&gt;3,#REF!-2,IF(#REF!=0,0.2,#REF!)/3*IF(#REF!&gt;3,#REF!-2,IF(#REF!=0,0.2,#REF!))+IF(#REF!&gt;3,#REF!-2,IF(#REF!=0,0.2,#REF!))/3*IF(#REF!&gt;3,#REF!-2,IF(#REF!=0,0.2,#REF!)))</f>
        <v>#REF!</v>
      </c>
      <c r="E8" s="100" t="e">
        <f>IF(#REF!&gt;3,#REF!-2,IF(#REF!=0,0.2,#REF!)/3*IF(#REF!&gt;3,#REF!-2,IF(#REF!=0,0.2,#REF!))+IF(#REF!&gt;3,#REF!-2,IF(#REF!=0,0.2,#REF!))/3*IF(#REF!&gt;3,#REF!-2,IF(#REF!=0,0.2,#REF!)))</f>
        <v>#REF!</v>
      </c>
      <c r="F8" s="100" t="e">
        <f>IF(#REF!&gt;3,#REF!-2,IF(#REF!=0,0.2,#REF!)/3*IF(#REF!&gt;3,#REF!-2,IF(#REF!=0,0.2,#REF!))+IF(#REF!&gt;3,#REF!-2,IF(#REF!=0,0.2,#REF!))/3*IF(#REF!&gt;3,#REF!-2,IF(#REF!=0,0.2,#REF!)))</f>
        <v>#REF!</v>
      </c>
      <c r="G8" s="100" t="e">
        <f>IF(#REF!&gt;3,#REF!-2,IF(#REF!=0,0.2,#REF!)/3*IF(#REF!&gt;3,#REF!-2,IF(#REF!=0,0.2,#REF!))+IF(#REF!&gt;3,#REF!-2,IF(#REF!=0,0.2,#REF!))/3*IF(#REF!&gt;3,#REF!-2,IF(#REF!=0,0.2,#REF!)))</f>
        <v>#REF!</v>
      </c>
    </row>
    <row r="9" spans="1:7" ht="15" customHeight="1">
      <c r="A9" s="100" t="e">
        <f>IF(#REF!&gt;3,#REF!-2,IF(#REF!=0,0.2,#REF!)/3*IF(#REF!&gt;3,#REF!-2,IF(#REF!=0,0.2,#REF!))+IF(#REF!&gt;3,#REF!-2,IF(#REF!=0,0.2,#REF!))/3*IF(#REF!&gt;3,#REF!-2,IF(#REF!=0,0.2,#REF!)))</f>
        <v>#REF!</v>
      </c>
      <c r="B9" s="100" t="e">
        <f>IF(#REF!&gt;3,#REF!-2,IF(#REF!=0,0.2,#REF!)/3*IF(#REF!&gt;3,#REF!-2,IF(#REF!=0,0.2,#REF!))+IF(#REF!&gt;3,#REF!-2,IF(#REF!=0,0.2,#REF!))/3*IF(#REF!&gt;3,#REF!-2,IF(#REF!=0,0.2,#REF!)))</f>
        <v>#REF!</v>
      </c>
      <c r="C9" s="100" t="e">
        <f>IF(#REF!&gt;3,#REF!-2,IF(#REF!=0,0.2,#REF!)/3*IF(#REF!&gt;3,#REF!-2,IF(#REF!=0,0.2,#REF!))+IF(#REF!&gt;3,#REF!-2,IF(#REF!=0,0.2,#REF!))/3*IF(#REF!&gt;3,#REF!-2,IF(#REF!=0,0.2,#REF!)))</f>
        <v>#REF!</v>
      </c>
      <c r="D9" s="100" t="e">
        <f>IF(#REF!&gt;3,#REF!-2,IF(#REF!=0,0.2,#REF!)/3*IF(#REF!&gt;3,#REF!-2,IF(#REF!=0,0.2,#REF!))+IF(#REF!&gt;3,#REF!-2,IF(#REF!=0,0.2,#REF!))/3*IF(#REF!&gt;3,#REF!-2,IF(#REF!=0,0.2,#REF!)))</f>
        <v>#REF!</v>
      </c>
      <c r="E9" s="100" t="e">
        <f>IF(#REF!&gt;3,#REF!-2,IF(#REF!=0,0.2,#REF!)/3*IF(#REF!&gt;3,#REF!-2,IF(#REF!=0,0.2,#REF!))+IF(#REF!&gt;3,#REF!-2,IF(#REF!=0,0.2,#REF!))/3*IF(#REF!&gt;3,#REF!-2,IF(#REF!=0,0.2,#REF!)))</f>
        <v>#REF!</v>
      </c>
      <c r="F9" s="100" t="e">
        <f>IF(#REF!&gt;3,#REF!-2,IF(#REF!=0,0.2,#REF!)/3*IF(#REF!&gt;3,#REF!-2,IF(#REF!=0,0.2,#REF!))+IF(#REF!&gt;3,#REF!-2,IF(#REF!=0,0.2,#REF!))/3*IF(#REF!&gt;3,#REF!-2,IF(#REF!=0,0.2,#REF!)))</f>
        <v>#REF!</v>
      </c>
      <c r="G9" s="100" t="e">
        <f>IF(#REF!&gt;3,#REF!-2,IF(#REF!=0,0.2,#REF!)/3*IF(#REF!&gt;3,#REF!-2,IF(#REF!=0,0.2,#REF!))+IF(#REF!&gt;3,#REF!-2,IF(#REF!=0,0.2,#REF!))/3*IF(#REF!&gt;3,#REF!-2,IF(#REF!=0,0.2,#REF!)))</f>
        <v>#REF!</v>
      </c>
    </row>
    <row r="10" spans="1:7" ht="15" customHeight="1">
      <c r="A10" s="100" t="e">
        <f>IF(#REF!&gt;3,#REF!-2,IF(#REF!=0,0.2,#REF!)/3*IF(#REF!&gt;3,#REF!-2,IF(#REF!=0,0.2,#REF!))+IF(#REF!&gt;3,#REF!-2,IF(#REF!=0,0.2,#REF!))/3*IF(#REF!&gt;3,#REF!-2,IF(#REF!=0,0.2,#REF!)))</f>
        <v>#REF!</v>
      </c>
      <c r="B10" s="100" t="e">
        <f>IF(#REF!&gt;3,#REF!-2,IF(#REF!=0,0.2,#REF!)/3*IF(#REF!&gt;3,#REF!-2,IF(#REF!=0,0.2,#REF!))+IF(#REF!&gt;3,#REF!-2,IF(#REF!=0,0.2,#REF!))/3*IF(#REF!&gt;3,#REF!-2,IF(#REF!=0,0.2,#REF!)))</f>
        <v>#REF!</v>
      </c>
      <c r="C10" s="100" t="e">
        <f>IF(#REF!&gt;3,#REF!-2,IF(#REF!=0,0.2,#REF!)/3*IF(#REF!&gt;3,#REF!-2,IF(#REF!=0,0.2,#REF!))+IF(#REF!&gt;3,#REF!-2,IF(#REF!=0,0.2,#REF!))/3*IF(#REF!&gt;3,#REF!-2,IF(#REF!=0,0.2,#REF!)))</f>
        <v>#REF!</v>
      </c>
      <c r="D10" s="100" t="e">
        <f>IF(#REF!&gt;3,#REF!-2,IF(#REF!=0,0.2,#REF!)/3*IF(#REF!&gt;3,#REF!-2,IF(#REF!=0,0.2,#REF!))+IF(#REF!&gt;3,#REF!-2,IF(#REF!=0,0.2,#REF!))/3*IF(#REF!&gt;3,#REF!-2,IF(#REF!=0,0.2,#REF!)))</f>
        <v>#REF!</v>
      </c>
      <c r="E10" s="100" t="e">
        <f>IF(#REF!&gt;3,#REF!-2,IF(#REF!=0,0.2,#REF!)/3*IF(#REF!&gt;3,#REF!-2,IF(#REF!=0,0.2,#REF!))+IF(#REF!&gt;3,#REF!-2,IF(#REF!=0,0.2,#REF!))/3*IF(#REF!&gt;3,#REF!-2,IF(#REF!=0,0.2,#REF!)))</f>
        <v>#REF!</v>
      </c>
      <c r="F10" s="100" t="e">
        <f>IF(#REF!&gt;3,#REF!-2,IF(#REF!=0,0.2,#REF!)/3*IF(#REF!&gt;3,#REF!-2,IF(#REF!=0,0.2,#REF!))+IF(#REF!&gt;3,#REF!-2,IF(#REF!=0,0.2,#REF!))/3*IF(#REF!&gt;3,#REF!-2,IF(#REF!=0,0.2,#REF!)))</f>
        <v>#REF!</v>
      </c>
      <c r="G10" s="100" t="e">
        <f>IF(#REF!&gt;3,#REF!-2,IF(#REF!=0,0.2,#REF!)/3*IF(#REF!&gt;3,#REF!-2,IF(#REF!=0,0.2,#REF!))+IF(#REF!&gt;3,#REF!-2,IF(#REF!=0,0.2,#REF!))/3*IF(#REF!&gt;3,#REF!-2,IF(#REF!=0,0.2,#REF!)))</f>
        <v>#REF!</v>
      </c>
    </row>
    <row r="11" spans="1:7" ht="15" customHeight="1">
      <c r="A11" s="100" t="e">
        <f>IF(#REF!&gt;3,#REF!-2,IF(#REF!=0,0.2,#REF!)/3*IF(#REF!&gt;3,#REF!-2,IF(#REF!=0,0.2,#REF!))+IF(#REF!&gt;3,#REF!-2,IF(#REF!=0,0.2,#REF!))/3*IF(#REF!&gt;3,#REF!-2,IF(#REF!=0,0.2,#REF!)))</f>
        <v>#REF!</v>
      </c>
      <c r="B11" s="100" t="e">
        <f>IF(#REF!&gt;3,#REF!-2,IF(#REF!=0,0.2,#REF!)/3*IF(#REF!&gt;3,#REF!-2,IF(#REF!=0,0.2,#REF!))+IF(#REF!&gt;3,#REF!-2,IF(#REF!=0,0.2,#REF!))/3*IF(#REF!&gt;3,#REF!-2,IF(#REF!=0,0.2,#REF!)))</f>
        <v>#REF!</v>
      </c>
      <c r="C11" s="100" t="e">
        <f>IF(#REF!&gt;3,#REF!-2,IF(#REF!=0,0.2,#REF!)/3*IF(#REF!&gt;3,#REF!-2,IF(#REF!=0,0.2,#REF!))+IF(#REF!&gt;3,#REF!-2,IF(#REF!=0,0.2,#REF!))/3*IF(#REF!&gt;3,#REF!-2,IF(#REF!=0,0.2,#REF!)))</f>
        <v>#REF!</v>
      </c>
      <c r="D11" s="100" t="e">
        <f>IF(#REF!&gt;3,#REF!-2,IF(#REF!=0,0.2,#REF!)/3*IF(#REF!&gt;3,#REF!-2,IF(#REF!=0,0.2,#REF!))+IF(#REF!&gt;3,#REF!-2,IF(#REF!=0,0.2,#REF!))/3*IF(#REF!&gt;3,#REF!-2,IF(#REF!=0,0.2,#REF!)))</f>
        <v>#REF!</v>
      </c>
      <c r="E11" s="100" t="e">
        <f>IF(#REF!&gt;3,#REF!-2,IF(#REF!=0,0.2,#REF!)/3*IF(#REF!&gt;3,#REF!-2,IF(#REF!=0,0.2,#REF!))+IF(#REF!&gt;3,#REF!-2,IF(#REF!=0,0.2,#REF!))/3*IF(#REF!&gt;3,#REF!-2,IF(#REF!=0,0.2,#REF!)))</f>
        <v>#REF!</v>
      </c>
      <c r="F11" s="100" t="e">
        <f>IF(#REF!&gt;3,#REF!-2,IF(#REF!=0,0.2,#REF!)/3*IF(#REF!&gt;3,#REF!-2,IF(#REF!=0,0.2,#REF!))+IF(#REF!&gt;3,#REF!-2,IF(#REF!=0,0.2,#REF!))/3*IF(#REF!&gt;3,#REF!-2,IF(#REF!=0,0.2,#REF!)))</f>
        <v>#REF!</v>
      </c>
      <c r="G11" s="100" t="e">
        <f>IF(#REF!&gt;3,#REF!-2,IF(#REF!=0,0.2,#REF!)/3*IF(#REF!&gt;3,#REF!-2,IF(#REF!=0,0.2,#REF!))+IF(#REF!&gt;3,#REF!-2,IF(#REF!=0,0.2,#REF!))/3*IF(#REF!&gt;3,#REF!-2,IF(#REF!=0,0.2,#REF!)))</f>
        <v>#REF!</v>
      </c>
    </row>
    <row r="12" spans="1:7" ht="15" customHeight="1">
      <c r="A12" s="100" t="e">
        <f>IF(#REF!&gt;3,#REF!-2,IF(#REF!=0,0.2,#REF!)/3*IF(#REF!&gt;3,#REF!-2,IF(#REF!=0,0.2,#REF!))+IF(#REF!&gt;3,#REF!-2,IF(#REF!=0,0.2,#REF!))/3*IF(#REF!&gt;3,#REF!-2,IF(#REF!=0,0.2,#REF!)))</f>
        <v>#REF!</v>
      </c>
      <c r="B12" s="100" t="e">
        <f>IF(#REF!&gt;3,#REF!-2,IF(#REF!=0,0.2,#REF!)/3*IF(#REF!&gt;3,#REF!-2,IF(#REF!=0,0.2,#REF!))+IF(#REF!&gt;3,#REF!-2,IF(#REF!=0,0.2,#REF!))/3*IF(#REF!&gt;3,#REF!-2,IF(#REF!=0,0.2,#REF!)))</f>
        <v>#REF!</v>
      </c>
      <c r="C12" s="100" t="e">
        <f>IF(#REF!&gt;3,#REF!-2,IF(#REF!=0,0.2,#REF!)/3*IF(#REF!&gt;3,#REF!-2,IF(#REF!=0,0.2,#REF!))+IF(#REF!&gt;3,#REF!-2,IF(#REF!=0,0.2,#REF!))/3*IF(#REF!&gt;3,#REF!-2,IF(#REF!=0,0.2,#REF!)))</f>
        <v>#REF!</v>
      </c>
      <c r="D12" s="100" t="e">
        <f>IF(#REF!&gt;3,#REF!-2,IF(#REF!=0,0.2,#REF!)/3*IF(#REF!&gt;3,#REF!-2,IF(#REF!=0,0.2,#REF!))+IF(#REF!&gt;3,#REF!-2,IF(#REF!=0,0.2,#REF!))/3*IF(#REF!&gt;3,#REF!-2,IF(#REF!=0,0.2,#REF!)))</f>
        <v>#REF!</v>
      </c>
      <c r="E12" s="100" t="e">
        <f>IF(#REF!&gt;3,#REF!-2,IF(#REF!=0,0.2,#REF!)/3*IF(#REF!&gt;3,#REF!-2,IF(#REF!=0,0.2,#REF!))+IF(#REF!&gt;3,#REF!-2,IF(#REF!=0,0.2,#REF!))/3*IF(#REF!&gt;3,#REF!-2,IF(#REF!=0,0.2,#REF!)))</f>
        <v>#REF!</v>
      </c>
      <c r="F12" s="100" t="e">
        <f>IF(#REF!&gt;3,#REF!-2,IF(#REF!=0,0.2,#REF!)/3*IF(#REF!&gt;3,#REF!-2,IF(#REF!=0,0.2,#REF!))+IF(#REF!&gt;3,#REF!-2,IF(#REF!=0,0.2,#REF!))/3*IF(#REF!&gt;3,#REF!-2,IF(#REF!=0,0.2,#REF!)))</f>
        <v>#REF!</v>
      </c>
      <c r="G12" s="100" t="e">
        <f>IF(#REF!&gt;3,#REF!-2,IF(#REF!=0,0.2,#REF!)/3*IF(#REF!&gt;3,#REF!-2,IF(#REF!=0,0.2,#REF!))+IF(#REF!&gt;3,#REF!-2,IF(#REF!=0,0.2,#REF!))/3*IF(#REF!&gt;3,#REF!-2,IF(#REF!=0,0.2,#REF!)))</f>
        <v>#REF!</v>
      </c>
    </row>
    <row r="13" spans="1:7" ht="15" customHeight="1">
      <c r="A13" s="100" t="e">
        <f>IF(#REF!&gt;3,#REF!-2,IF(#REF!=0,0.2,#REF!)/3*IF(#REF!&gt;3,#REF!-2,IF(#REF!=0,0.2,#REF!))+IF(#REF!&gt;3,#REF!-2,IF(#REF!=0,0.2,#REF!))/3*IF(#REF!&gt;3,#REF!-2,IF(#REF!=0,0.2,#REF!)))</f>
        <v>#REF!</v>
      </c>
      <c r="B13" s="100" t="e">
        <f>IF(#REF!&gt;3,#REF!-2,IF(#REF!=0,0.2,#REF!)/3*IF(#REF!&gt;3,#REF!-2,IF(#REF!=0,0.2,#REF!))+IF(#REF!&gt;3,#REF!-2,IF(#REF!=0,0.2,#REF!))/3*IF(#REF!&gt;3,#REF!-2,IF(#REF!=0,0.2,#REF!)))</f>
        <v>#REF!</v>
      </c>
      <c r="C13" s="100" t="e">
        <f>IF(#REF!&gt;3,#REF!-2,IF(#REF!=0,0.2,#REF!)/3*IF(#REF!&gt;3,#REF!-2,IF(#REF!=0,0.2,#REF!))+IF(#REF!&gt;3,#REF!-2,IF(#REF!=0,0.2,#REF!))/3*IF(#REF!&gt;3,#REF!-2,IF(#REF!=0,0.2,#REF!)))</f>
        <v>#REF!</v>
      </c>
      <c r="D13" s="100" t="e">
        <f>IF(#REF!&gt;3,#REF!-2,IF(#REF!=0,0.2,#REF!)/3*IF(#REF!&gt;3,#REF!-2,IF(#REF!=0,0.2,#REF!))+IF(#REF!&gt;3,#REF!-2,IF(#REF!=0,0.2,#REF!))/3*IF(#REF!&gt;3,#REF!-2,IF(#REF!=0,0.2,#REF!)))</f>
        <v>#REF!</v>
      </c>
      <c r="E13" s="100" t="e">
        <f>IF(#REF!&gt;3,#REF!-2,IF(#REF!=0,0.2,#REF!)/3*IF(#REF!&gt;3,#REF!-2,IF(#REF!=0,0.2,#REF!))+IF(#REF!&gt;3,#REF!-2,IF(#REF!=0,0.2,#REF!))/3*IF(#REF!&gt;3,#REF!-2,IF(#REF!=0,0.2,#REF!)))</f>
        <v>#REF!</v>
      </c>
      <c r="F13" s="100" t="e">
        <f>IF(#REF!&gt;3,#REF!-2,IF(#REF!=0,0.2,#REF!)/3*IF(#REF!&gt;3,#REF!-2,IF(#REF!=0,0.2,#REF!))+IF(#REF!&gt;3,#REF!-2,IF(#REF!=0,0.2,#REF!))/3*IF(#REF!&gt;3,#REF!-2,IF(#REF!=0,0.2,#REF!)))</f>
        <v>#REF!</v>
      </c>
      <c r="G13" s="100" t="e">
        <f>IF(#REF!&gt;3,#REF!-2,IF(#REF!=0,0.2,#REF!)/3*IF(#REF!&gt;3,#REF!-2,IF(#REF!=0,0.2,#REF!))+IF(#REF!&gt;3,#REF!-2,IF(#REF!=0,0.2,#REF!))/3*IF(#REF!&gt;3,#REF!-2,IF(#REF!=0,0.2,#REF!)))</f>
        <v>#REF!</v>
      </c>
    </row>
    <row r="14" spans="1:7" ht="15" customHeight="1">
      <c r="A14" s="100" t="e">
        <f>IF(#REF!&gt;3,#REF!-2,IF(#REF!=0,0.2,#REF!)/3*IF(#REF!&gt;3,#REF!-2,IF(#REF!=0,0.2,#REF!))+IF(#REF!&gt;3,#REF!-2,IF(#REF!=0,0.2,#REF!))/3*IF(#REF!&gt;3,#REF!-2,IF(#REF!=0,0.2,#REF!)))</f>
        <v>#REF!</v>
      </c>
      <c r="B14" s="100" t="e">
        <f>IF(#REF!&gt;3,#REF!-2,IF(#REF!=0,0.2,#REF!)/3*IF(#REF!&gt;3,#REF!-2,IF(#REF!=0,0.2,#REF!))+IF(#REF!&gt;3,#REF!-2,IF(#REF!=0,0.2,#REF!))/3*IF(#REF!&gt;3,#REF!-2,IF(#REF!=0,0.2,#REF!)))</f>
        <v>#REF!</v>
      </c>
      <c r="C14" s="100" t="e">
        <f>IF(#REF!&gt;3,#REF!-2,IF(#REF!=0,0.2,#REF!)/3*IF(#REF!&gt;3,#REF!-2,IF(#REF!=0,0.2,#REF!))+IF(#REF!&gt;3,#REF!-2,IF(#REF!=0,0.2,#REF!))/3*IF(#REF!&gt;3,#REF!-2,IF(#REF!=0,0.2,#REF!)))</f>
        <v>#REF!</v>
      </c>
      <c r="D14" s="100" t="e">
        <f>IF(#REF!&gt;3,#REF!-2,IF(#REF!=0,0.2,#REF!)/3*IF(#REF!&gt;3,#REF!-2,IF(#REF!=0,0.2,#REF!))+IF(#REF!&gt;3,#REF!-2,IF(#REF!=0,0.2,#REF!))/3*IF(#REF!&gt;3,#REF!-2,IF(#REF!=0,0.2,#REF!)))</f>
        <v>#REF!</v>
      </c>
      <c r="E14" s="100" t="e">
        <f>IF(#REF!&gt;3,#REF!-2,IF(#REF!=0,0.2,#REF!)/3*IF(#REF!&gt;3,#REF!-2,IF(#REF!=0,0.2,#REF!))+IF(#REF!&gt;3,#REF!-2,IF(#REF!=0,0.2,#REF!))/3*IF(#REF!&gt;3,#REF!-2,IF(#REF!=0,0.2,#REF!)))</f>
        <v>#REF!</v>
      </c>
      <c r="F14" s="100" t="e">
        <f>IF(#REF!&gt;3,#REF!-2,IF(#REF!=0,0.2,#REF!)/3*IF(#REF!&gt;3,#REF!-2,IF(#REF!=0,0.2,#REF!))+IF(#REF!&gt;3,#REF!-2,IF(#REF!=0,0.2,#REF!))/3*IF(#REF!&gt;3,#REF!-2,IF(#REF!=0,0.2,#REF!)))</f>
        <v>#REF!</v>
      </c>
      <c r="G14" s="100" t="e">
        <f>IF(#REF!&gt;3,#REF!-2,IF(#REF!=0,0.2,#REF!)/3*IF(#REF!&gt;3,#REF!-2,IF(#REF!=0,0.2,#REF!))+IF(#REF!&gt;3,#REF!-2,IF(#REF!=0,0.2,#REF!))/3*IF(#REF!&gt;3,#REF!-2,IF(#REF!=0,0.2,#REF!)))</f>
        <v>#REF!</v>
      </c>
    </row>
    <row r="15" spans="1:7" ht="15" customHeight="1">
      <c r="A15" s="100" t="e">
        <f>IF(#REF!&gt;3,#REF!-2,IF(#REF!=0,0.2,#REF!)/3*IF(#REF!&gt;3,#REF!-2,IF(#REF!=0,0.2,#REF!))+IF(#REF!&gt;3,#REF!-2,IF(#REF!=0,0.2,#REF!))/3*IF(#REF!&gt;3,#REF!-2,IF(#REF!=0,0.2,#REF!)))</f>
        <v>#REF!</v>
      </c>
      <c r="B15" s="100" t="e">
        <f>IF(#REF!&gt;3,#REF!-2,IF(#REF!=0,0.2,#REF!)/3*IF(#REF!&gt;3,#REF!-2,IF(#REF!=0,0.2,#REF!))+IF(#REF!&gt;3,#REF!-2,IF(#REF!=0,0.2,#REF!))/3*IF(#REF!&gt;3,#REF!-2,IF(#REF!=0,0.2,#REF!)))</f>
        <v>#REF!</v>
      </c>
      <c r="C15" s="100" t="e">
        <f>IF(#REF!&gt;3,#REF!-2,IF(#REF!=0,0.2,#REF!)/3*IF(#REF!&gt;3,#REF!-2,IF(#REF!=0,0.2,#REF!))+IF(#REF!&gt;3,#REF!-2,IF(#REF!=0,0.2,#REF!))/3*IF(#REF!&gt;3,#REF!-2,IF(#REF!=0,0.2,#REF!)))</f>
        <v>#REF!</v>
      </c>
      <c r="D15" s="100" t="e">
        <f>IF(#REF!&gt;3,#REF!-2,IF(#REF!=0,0.2,#REF!)/3*IF(#REF!&gt;3,#REF!-2,IF(#REF!=0,0.2,#REF!))+IF(#REF!&gt;3,#REF!-2,IF(#REF!=0,0.2,#REF!))/3*IF(#REF!&gt;3,#REF!-2,IF(#REF!=0,0.2,#REF!)))</f>
        <v>#REF!</v>
      </c>
      <c r="E15" s="100" t="e">
        <f>IF(#REF!&gt;3,#REF!-2,IF(#REF!=0,0.2,#REF!)/3*IF(#REF!&gt;3,#REF!-2,IF(#REF!=0,0.2,#REF!))+IF(#REF!&gt;3,#REF!-2,IF(#REF!=0,0.2,#REF!))/3*IF(#REF!&gt;3,#REF!-2,IF(#REF!=0,0.2,#REF!)))</f>
        <v>#REF!</v>
      </c>
      <c r="F15" s="100" t="e">
        <f>IF(#REF!&gt;3,#REF!-2,IF(#REF!=0,0.2,#REF!)/3*IF(#REF!&gt;3,#REF!-2,IF(#REF!=0,0.2,#REF!))+IF(#REF!&gt;3,#REF!-2,IF(#REF!=0,0.2,#REF!))/3*IF(#REF!&gt;3,#REF!-2,IF(#REF!=0,0.2,#REF!)))</f>
        <v>#REF!</v>
      </c>
      <c r="G15" s="100" t="e">
        <f>IF(#REF!&gt;3,#REF!-2,IF(#REF!=0,0.2,#REF!)/3*IF(#REF!&gt;3,#REF!-2,IF(#REF!=0,0.2,#REF!))+IF(#REF!&gt;3,#REF!-2,IF(#REF!=0,0.2,#REF!))/3*IF(#REF!&gt;3,#REF!-2,IF(#REF!=0,0.2,#REF!)))</f>
        <v>#REF!</v>
      </c>
    </row>
    <row r="16" spans="1:7" ht="15" customHeight="1">
      <c r="A16" s="100" t="e">
        <f>IF(#REF!&gt;3,#REF!-2,IF(#REF!=0,0.2,#REF!)/3*IF(#REF!&gt;3,#REF!-2,IF(#REF!=0,0.2,#REF!))+IF(#REF!&gt;3,#REF!-2,IF(#REF!=0,0.2,#REF!))/3*IF(#REF!&gt;3,#REF!-2,IF(#REF!=0,0.2,#REF!)))</f>
        <v>#REF!</v>
      </c>
      <c r="B16" s="100" t="e">
        <f>IF(#REF!&gt;3,#REF!-2,IF(#REF!=0,0.2,#REF!)/3*IF(#REF!&gt;3,#REF!-2,IF(#REF!=0,0.2,#REF!))+IF(#REF!&gt;3,#REF!-2,IF(#REF!=0,0.2,#REF!))/3*IF(#REF!&gt;3,#REF!-2,IF(#REF!=0,0.2,#REF!)))</f>
        <v>#REF!</v>
      </c>
      <c r="C16" s="100" t="e">
        <f>IF(#REF!&gt;3,#REF!-2,IF(#REF!=0,0.2,#REF!)/3*IF(#REF!&gt;3,#REF!-2,IF(#REF!=0,0.2,#REF!))+IF(#REF!&gt;3,#REF!-2,IF(#REF!=0,0.2,#REF!))/3*IF(#REF!&gt;3,#REF!-2,IF(#REF!=0,0.2,#REF!)))</f>
        <v>#REF!</v>
      </c>
      <c r="D16" s="100" t="e">
        <f>IF(#REF!&gt;3,#REF!-2,IF(#REF!=0,0.2,#REF!)/3*IF(#REF!&gt;3,#REF!-2,IF(#REF!=0,0.2,#REF!))+IF(#REF!&gt;3,#REF!-2,IF(#REF!=0,0.2,#REF!))/3*IF(#REF!&gt;3,#REF!-2,IF(#REF!=0,0.2,#REF!)))</f>
        <v>#REF!</v>
      </c>
      <c r="E16" s="100" t="e">
        <f>IF(#REF!&gt;3,#REF!-2,IF(#REF!=0,0.2,#REF!)/3*IF(#REF!&gt;3,#REF!-2,IF(#REF!=0,0.2,#REF!))+IF(#REF!&gt;3,#REF!-2,IF(#REF!=0,0.2,#REF!))/3*IF(#REF!&gt;3,#REF!-2,IF(#REF!=0,0.2,#REF!)))</f>
        <v>#REF!</v>
      </c>
      <c r="F16" s="100" t="e">
        <f>IF(#REF!&gt;3,#REF!-2,IF(#REF!=0,0.2,#REF!)/3*IF(#REF!&gt;3,#REF!-2,IF(#REF!=0,0.2,#REF!))+IF(#REF!&gt;3,#REF!-2,IF(#REF!=0,0.2,#REF!))/3*IF(#REF!&gt;3,#REF!-2,IF(#REF!=0,0.2,#REF!)))</f>
        <v>#REF!</v>
      </c>
      <c r="G16" s="100" t="e">
        <f>IF(#REF!&gt;3,#REF!-2,IF(#REF!=0,0.2,#REF!)/3*IF(#REF!&gt;3,#REF!-2,IF(#REF!=0,0.2,#REF!))+IF(#REF!&gt;3,#REF!-2,IF(#REF!=0,0.2,#REF!))/3*IF(#REF!&gt;3,#REF!-2,IF(#REF!=0,0.2,#REF!)))</f>
        <v>#REF!</v>
      </c>
    </row>
    <row r="17" spans="1:7" ht="15" customHeight="1">
      <c r="A17" s="100" t="e">
        <f>IF(#REF!&gt;3,#REF!-2,IF(#REF!=0,0.2,#REF!)/3*IF(#REF!&gt;3,#REF!-2,IF(#REF!=0,0.2,#REF!))+IF(#REF!&gt;3,#REF!-2,IF(#REF!=0,0.2,#REF!))/3*IF(#REF!&gt;3,#REF!-2,IF(#REF!=0,0.2,#REF!)))</f>
        <v>#REF!</v>
      </c>
      <c r="B17" s="100" t="e">
        <f>IF(#REF!&gt;3,#REF!-2,IF(#REF!=0,0.2,#REF!)/3*IF(#REF!&gt;3,#REF!-2,IF(#REF!=0,0.2,#REF!))+IF(#REF!&gt;3,#REF!-2,IF(#REF!=0,0.2,#REF!))/3*IF(#REF!&gt;3,#REF!-2,IF(#REF!=0,0.2,#REF!)))</f>
        <v>#REF!</v>
      </c>
      <c r="C17" s="100" t="e">
        <f>IF(#REF!&gt;3,#REF!-2,IF(#REF!=0,0.2,#REF!)/3*IF(#REF!&gt;3,#REF!-2,IF(#REF!=0,0.2,#REF!))+IF(#REF!&gt;3,#REF!-2,IF(#REF!=0,0.2,#REF!))/3*IF(#REF!&gt;3,#REF!-2,IF(#REF!=0,0.2,#REF!)))</f>
        <v>#REF!</v>
      </c>
      <c r="D17" s="100" t="e">
        <f>IF(#REF!&gt;3,#REF!-2,IF(#REF!=0,0.2,#REF!)/3*IF(#REF!&gt;3,#REF!-2,IF(#REF!=0,0.2,#REF!))+IF(#REF!&gt;3,#REF!-2,IF(#REF!=0,0.2,#REF!))/3*IF(#REF!&gt;3,#REF!-2,IF(#REF!=0,0.2,#REF!)))</f>
        <v>#REF!</v>
      </c>
      <c r="E17" s="100" t="e">
        <f>IF(#REF!&gt;3,#REF!-2,IF(#REF!=0,0.2,#REF!)/3*IF(#REF!&gt;3,#REF!-2,IF(#REF!=0,0.2,#REF!))+IF(#REF!&gt;3,#REF!-2,IF(#REF!=0,0.2,#REF!))/3*IF(#REF!&gt;3,#REF!-2,IF(#REF!=0,0.2,#REF!)))</f>
        <v>#REF!</v>
      </c>
      <c r="F17" s="100" t="e">
        <f>IF(#REF!&gt;3,#REF!-2,IF(#REF!=0,0.2,#REF!)/3*IF(#REF!&gt;3,#REF!-2,IF(#REF!=0,0.2,#REF!))+IF(#REF!&gt;3,#REF!-2,IF(#REF!=0,0.2,#REF!))/3*IF(#REF!&gt;3,#REF!-2,IF(#REF!=0,0.2,#REF!)))</f>
        <v>#REF!</v>
      </c>
      <c r="G17" s="100" t="e">
        <f>IF(#REF!&gt;3,#REF!-2,IF(#REF!=0,0.2,#REF!)/3*IF(#REF!&gt;3,#REF!-2,IF(#REF!=0,0.2,#REF!))+IF(#REF!&gt;3,#REF!-2,IF(#REF!=0,0.2,#REF!))/3*IF(#REF!&gt;3,#REF!-2,IF(#REF!=0,0.2,#REF!)))</f>
        <v>#REF!</v>
      </c>
    </row>
    <row r="18" spans="1:7" ht="15" customHeight="1">
      <c r="A18" s="100" t="e">
        <f>IF(#REF!&gt;3,#REF!-2,IF(#REF!=0,0.2,#REF!)/3*IF(#REF!&gt;3,#REF!-2,IF(#REF!=0,0.2,#REF!))+IF(#REF!&gt;3,#REF!-2,IF(#REF!=0,0.2,#REF!))/3*IF(#REF!&gt;3,#REF!-2,IF(#REF!=0,0.2,#REF!)))</f>
        <v>#REF!</v>
      </c>
      <c r="B18" s="100" t="e">
        <f>IF(#REF!&gt;3,#REF!-2,IF(#REF!=0,0.2,#REF!)/3*IF(#REF!&gt;3,#REF!-2,IF(#REF!=0,0.2,#REF!))+IF(#REF!&gt;3,#REF!-2,IF(#REF!=0,0.2,#REF!))/3*IF(#REF!&gt;3,#REF!-2,IF(#REF!=0,0.2,#REF!)))</f>
        <v>#REF!</v>
      </c>
      <c r="C18" s="100" t="e">
        <f>IF(#REF!&gt;3,#REF!-2,IF(#REF!=0,0.2,#REF!)/3*IF(#REF!&gt;3,#REF!-2,IF(#REF!=0,0.2,#REF!))+IF(#REF!&gt;3,#REF!-2,IF(#REF!=0,0.2,#REF!))/3*IF(#REF!&gt;3,#REF!-2,IF(#REF!=0,0.2,#REF!)))</f>
        <v>#REF!</v>
      </c>
      <c r="D18" s="100" t="e">
        <f>IF(#REF!&gt;3,#REF!-2,IF(#REF!=0,0.2,#REF!)/3*IF(#REF!&gt;3,#REF!-2,IF(#REF!=0,0.2,#REF!))+IF(#REF!&gt;3,#REF!-2,IF(#REF!=0,0.2,#REF!))/3*IF(#REF!&gt;3,#REF!-2,IF(#REF!=0,0.2,#REF!)))</f>
        <v>#REF!</v>
      </c>
      <c r="E18" s="100" t="e">
        <f>IF(#REF!&gt;3,#REF!-2,IF(#REF!=0,0.2,#REF!)/3*IF(#REF!&gt;3,#REF!-2,IF(#REF!=0,0.2,#REF!))+IF(#REF!&gt;3,#REF!-2,IF(#REF!=0,0.2,#REF!))/3*IF(#REF!&gt;3,#REF!-2,IF(#REF!=0,0.2,#REF!)))</f>
        <v>#REF!</v>
      </c>
      <c r="F18" s="100" t="e">
        <f>IF(#REF!&gt;3,#REF!-2,IF(#REF!=0,0.2,#REF!)/3*IF(#REF!&gt;3,#REF!-2,IF(#REF!=0,0.2,#REF!))+IF(#REF!&gt;3,#REF!-2,IF(#REF!=0,0.2,#REF!))/3*IF(#REF!&gt;3,#REF!-2,IF(#REF!=0,0.2,#REF!)))</f>
        <v>#REF!</v>
      </c>
      <c r="G18" s="100" t="e">
        <f>IF(#REF!&gt;3,#REF!-2,IF(#REF!=0,0.2,#REF!)/3*IF(#REF!&gt;3,#REF!-2,IF(#REF!=0,0.2,#REF!))+IF(#REF!&gt;3,#REF!-2,IF(#REF!=0,0.2,#REF!))/3*IF(#REF!&gt;3,#REF!-2,IF(#REF!=0,0.2,#REF!)))</f>
        <v>#REF!</v>
      </c>
    </row>
    <row r="19" spans="1:7" ht="15" customHeight="1">
      <c r="A19" s="100" t="e">
        <f>IF(#REF!&gt;3,#REF!-2,IF(#REF!=0,0.2,#REF!)/3*IF(#REF!&gt;3,#REF!-2,IF(#REF!=0,0.2,#REF!))+IF(#REF!&gt;3,#REF!-2,IF(#REF!=0,0.2,#REF!))/3*IF(#REF!&gt;3,#REF!-2,IF(#REF!=0,0.2,#REF!)))</f>
        <v>#REF!</v>
      </c>
      <c r="B19" s="100" t="e">
        <f>IF(#REF!&gt;3,#REF!-2,IF(#REF!=0,0.2,#REF!)/3*IF(#REF!&gt;3,#REF!-2,IF(#REF!=0,0.2,#REF!))+IF(#REF!&gt;3,#REF!-2,IF(#REF!=0,0.2,#REF!))/3*IF(#REF!&gt;3,#REF!-2,IF(#REF!=0,0.2,#REF!)))</f>
        <v>#REF!</v>
      </c>
      <c r="C19" s="100" t="e">
        <f>IF(#REF!&gt;3,#REF!-2,IF(#REF!=0,0.2,#REF!)/3*IF(#REF!&gt;3,#REF!-2,IF(#REF!=0,0.2,#REF!))+IF(#REF!&gt;3,#REF!-2,IF(#REF!=0,0.2,#REF!))/3*IF(#REF!&gt;3,#REF!-2,IF(#REF!=0,0.2,#REF!)))</f>
        <v>#REF!</v>
      </c>
      <c r="D19" s="100" t="e">
        <f>IF(#REF!&gt;3,#REF!-2,IF(#REF!=0,0.2,#REF!)/3*IF(#REF!&gt;3,#REF!-2,IF(#REF!=0,0.2,#REF!))+IF(#REF!&gt;3,#REF!-2,IF(#REF!=0,0.2,#REF!))/3*IF(#REF!&gt;3,#REF!-2,IF(#REF!=0,0.2,#REF!)))</f>
        <v>#REF!</v>
      </c>
      <c r="E19" s="100" t="e">
        <f>IF(#REF!&gt;3,#REF!-2,IF(#REF!=0,0.2,#REF!)/3*IF(#REF!&gt;3,#REF!-2,IF(#REF!=0,0.2,#REF!))+IF(#REF!&gt;3,#REF!-2,IF(#REF!=0,0.2,#REF!))/3*IF(#REF!&gt;3,#REF!-2,IF(#REF!=0,0.2,#REF!)))</f>
        <v>#REF!</v>
      </c>
      <c r="F19" s="100" t="e">
        <f>IF(#REF!&gt;3,#REF!-2,IF(#REF!=0,0.2,#REF!)/3*IF(#REF!&gt;3,#REF!-2,IF(#REF!=0,0.2,#REF!))+IF(#REF!&gt;3,#REF!-2,IF(#REF!=0,0.2,#REF!))/3*IF(#REF!&gt;3,#REF!-2,IF(#REF!=0,0.2,#REF!)))</f>
        <v>#REF!</v>
      </c>
      <c r="G19" s="100" t="e">
        <f>IF(#REF!&gt;3,#REF!-2,IF(#REF!=0,0.2,#REF!)/3*IF(#REF!&gt;3,#REF!-2,IF(#REF!=0,0.2,#REF!))+IF(#REF!&gt;3,#REF!-2,IF(#REF!=0,0.2,#REF!))/3*IF(#REF!&gt;3,#REF!-2,IF(#REF!=0,0.2,#REF!)))</f>
        <v>#REF!</v>
      </c>
    </row>
    <row r="20" spans="1:7" ht="15" customHeight="1">
      <c r="A20" s="100" t="e">
        <f>IF(#REF!&gt;3,#REF!-2,IF(#REF!=0,0.2,#REF!)/3*IF(#REF!&gt;3,#REF!-2,IF(#REF!=0,0.2,#REF!))+IF(#REF!&gt;3,#REF!-2,IF(#REF!=0,0.2,#REF!))/3*IF(#REF!&gt;3,#REF!-2,IF(#REF!=0,0.2,#REF!)))</f>
        <v>#REF!</v>
      </c>
      <c r="B20" s="100" t="e">
        <f>IF(#REF!&gt;3,#REF!-2,IF(#REF!=0,0.2,#REF!)/3*IF(#REF!&gt;3,#REF!-2,IF(#REF!=0,0.2,#REF!))+IF(#REF!&gt;3,#REF!-2,IF(#REF!=0,0.2,#REF!))/3*IF(#REF!&gt;3,#REF!-2,IF(#REF!=0,0.2,#REF!)))</f>
        <v>#REF!</v>
      </c>
      <c r="C20" s="100" t="e">
        <f>IF(#REF!&gt;3,#REF!-2,IF(#REF!=0,0.2,#REF!)/3*IF(#REF!&gt;3,#REF!-2,IF(#REF!=0,0.2,#REF!))+IF(#REF!&gt;3,#REF!-2,IF(#REF!=0,0.2,#REF!))/3*IF(#REF!&gt;3,#REF!-2,IF(#REF!=0,0.2,#REF!)))</f>
        <v>#REF!</v>
      </c>
      <c r="D20" s="100" t="e">
        <f>IF(#REF!&gt;3,#REF!-2,IF(#REF!=0,0.2,#REF!)/3*IF(#REF!&gt;3,#REF!-2,IF(#REF!=0,0.2,#REF!))+IF(#REF!&gt;3,#REF!-2,IF(#REF!=0,0.2,#REF!))/3*IF(#REF!&gt;3,#REF!-2,IF(#REF!=0,0.2,#REF!)))</f>
        <v>#REF!</v>
      </c>
      <c r="E20" s="100" t="e">
        <f>IF(#REF!&gt;3,#REF!-2,IF(#REF!=0,0.2,#REF!)/3*IF(#REF!&gt;3,#REF!-2,IF(#REF!=0,0.2,#REF!))+IF(#REF!&gt;3,#REF!-2,IF(#REF!=0,0.2,#REF!))/3*IF(#REF!&gt;3,#REF!-2,IF(#REF!=0,0.2,#REF!)))</f>
        <v>#REF!</v>
      </c>
      <c r="F20" s="100" t="e">
        <f>IF(#REF!&gt;3,#REF!-2,IF(#REF!=0,0.2,#REF!)/3*IF(#REF!&gt;3,#REF!-2,IF(#REF!=0,0.2,#REF!))+IF(#REF!&gt;3,#REF!-2,IF(#REF!=0,0.2,#REF!))/3*IF(#REF!&gt;3,#REF!-2,IF(#REF!=0,0.2,#REF!)))</f>
        <v>#REF!</v>
      </c>
      <c r="G20" s="100" t="e">
        <f>IF(#REF!&gt;3,#REF!-2,IF(#REF!=0,0.2,#REF!)/3*IF(#REF!&gt;3,#REF!-2,IF(#REF!=0,0.2,#REF!))+IF(#REF!&gt;3,#REF!-2,IF(#REF!=0,0.2,#REF!))/3*IF(#REF!&gt;3,#REF!-2,IF(#REF!=0,0.2,#REF!)))</f>
        <v>#REF!</v>
      </c>
    </row>
    <row r="21" spans="1:7" ht="15" customHeight="1">
      <c r="A21" s="100" t="e">
        <f>IF(#REF!&gt;3,#REF!-2,IF(#REF!=0,0.2,#REF!)/3*IF(#REF!&gt;3,#REF!-2,IF(#REF!=0,0.2,#REF!))+IF(#REF!&gt;3,#REF!-2,IF(#REF!=0,0.2,#REF!))/3*IF(#REF!&gt;3,#REF!-2,IF(#REF!=0,0.2,#REF!)))</f>
        <v>#REF!</v>
      </c>
      <c r="B21" s="100" t="e">
        <f>IF(#REF!&gt;3,#REF!-2,IF(#REF!=0,0.2,#REF!)/3*IF(#REF!&gt;3,#REF!-2,IF(#REF!=0,0.2,#REF!))+IF(#REF!&gt;3,#REF!-2,IF(#REF!=0,0.2,#REF!))/3*IF(#REF!&gt;3,#REF!-2,IF(#REF!=0,0.2,#REF!)))</f>
        <v>#REF!</v>
      </c>
      <c r="C21" s="100" t="e">
        <f>IF(#REF!&gt;3,#REF!-2,IF(#REF!=0,0.2,#REF!)/3*IF(#REF!&gt;3,#REF!-2,IF(#REF!=0,0.2,#REF!))+IF(#REF!&gt;3,#REF!-2,IF(#REF!=0,0.2,#REF!))/3*IF(#REF!&gt;3,#REF!-2,IF(#REF!=0,0.2,#REF!)))</f>
        <v>#REF!</v>
      </c>
      <c r="D21" s="100" t="e">
        <f>IF(#REF!&gt;3,#REF!-2,IF(#REF!=0,0.2,#REF!)/3*IF(#REF!&gt;3,#REF!-2,IF(#REF!=0,0.2,#REF!))+IF(#REF!&gt;3,#REF!-2,IF(#REF!=0,0.2,#REF!))/3*IF(#REF!&gt;3,#REF!-2,IF(#REF!=0,0.2,#REF!)))</f>
        <v>#REF!</v>
      </c>
      <c r="E21" s="100" t="e">
        <f>IF(#REF!&gt;3,#REF!-2,IF(#REF!=0,0.2,#REF!)/3*IF(#REF!&gt;3,#REF!-2,IF(#REF!=0,0.2,#REF!))+IF(#REF!&gt;3,#REF!-2,IF(#REF!=0,0.2,#REF!))/3*IF(#REF!&gt;3,#REF!-2,IF(#REF!=0,0.2,#REF!)))</f>
        <v>#REF!</v>
      </c>
      <c r="F21" s="100" t="e">
        <f>IF(#REF!&gt;3,#REF!-2,IF(#REF!=0,0.2,#REF!)/3*IF(#REF!&gt;3,#REF!-2,IF(#REF!=0,0.2,#REF!))+IF(#REF!&gt;3,#REF!-2,IF(#REF!=0,0.2,#REF!))/3*IF(#REF!&gt;3,#REF!-2,IF(#REF!=0,0.2,#REF!)))</f>
        <v>#REF!</v>
      </c>
      <c r="G21" s="100" t="e">
        <f>IF(#REF!&gt;3,#REF!-2,IF(#REF!=0,0.2,#REF!)/3*IF(#REF!&gt;3,#REF!-2,IF(#REF!=0,0.2,#REF!))+IF(#REF!&gt;3,#REF!-2,IF(#REF!=0,0.2,#REF!))/3*IF(#REF!&gt;3,#REF!-2,IF(#REF!=0,0.2,#REF!)))</f>
        <v>#REF!</v>
      </c>
    </row>
    <row r="22" spans="1:7" ht="15" customHeight="1">
      <c r="A22" s="100" t="e">
        <f>IF(#REF!&gt;3,#REF!-2,IF(#REF!=0,0.2,#REF!)/3*IF(#REF!&gt;3,#REF!-2,IF(#REF!=0,0.2,#REF!))+IF(#REF!&gt;3,#REF!-2,IF(#REF!=0,0.2,#REF!))/3*IF(#REF!&gt;3,#REF!-2,IF(#REF!=0,0.2,#REF!)))</f>
        <v>#REF!</v>
      </c>
      <c r="B22" s="100" t="e">
        <f>IF(#REF!&gt;3,#REF!-2,IF(#REF!=0,0.2,#REF!)/3*IF(#REF!&gt;3,#REF!-2,IF(#REF!=0,0.2,#REF!))+IF(#REF!&gt;3,#REF!-2,IF(#REF!=0,0.2,#REF!))/3*IF(#REF!&gt;3,#REF!-2,IF(#REF!=0,0.2,#REF!)))</f>
        <v>#REF!</v>
      </c>
      <c r="C22" s="100" t="e">
        <f>IF(#REF!&gt;3,#REF!-2,IF(#REF!=0,0.2,#REF!)/3*IF(#REF!&gt;3,#REF!-2,IF(#REF!=0,0.2,#REF!))+IF(#REF!&gt;3,#REF!-2,IF(#REF!=0,0.2,#REF!))/3*IF(#REF!&gt;3,#REF!-2,IF(#REF!=0,0.2,#REF!)))</f>
        <v>#REF!</v>
      </c>
      <c r="D22" s="100" t="e">
        <f>IF(#REF!&gt;3,#REF!-2,IF(#REF!=0,0.2,#REF!)/3*IF(#REF!&gt;3,#REF!-2,IF(#REF!=0,0.2,#REF!))+IF(#REF!&gt;3,#REF!-2,IF(#REF!=0,0.2,#REF!))/3*IF(#REF!&gt;3,#REF!-2,IF(#REF!=0,0.2,#REF!)))</f>
        <v>#REF!</v>
      </c>
      <c r="E22" s="100" t="e">
        <f>IF(#REF!&gt;3,#REF!-2,IF(#REF!=0,0.2,#REF!)/3*IF(#REF!&gt;3,#REF!-2,IF(#REF!=0,0.2,#REF!))+IF(#REF!&gt;3,#REF!-2,IF(#REF!=0,0.2,#REF!))/3*IF(#REF!&gt;3,#REF!-2,IF(#REF!=0,0.2,#REF!)))</f>
        <v>#REF!</v>
      </c>
      <c r="F22" s="100" t="e">
        <f>IF(#REF!&gt;3,#REF!-2,IF(#REF!=0,0.2,#REF!)/3*IF(#REF!&gt;3,#REF!-2,IF(#REF!=0,0.2,#REF!))+IF(#REF!&gt;3,#REF!-2,IF(#REF!=0,0.2,#REF!))/3*IF(#REF!&gt;3,#REF!-2,IF(#REF!=0,0.2,#REF!)))</f>
        <v>#REF!</v>
      </c>
      <c r="G22" s="100" t="e">
        <f>IF(#REF!&gt;3,#REF!-2,IF(#REF!=0,0.2,#REF!)/3*IF(#REF!&gt;3,#REF!-2,IF(#REF!=0,0.2,#REF!))+IF(#REF!&gt;3,#REF!-2,IF(#REF!=0,0.2,#REF!))/3*IF(#REF!&gt;3,#REF!-2,IF(#REF!=0,0.2,#REF!)))</f>
        <v>#REF!</v>
      </c>
    </row>
    <row r="23" spans="1:7" ht="15" customHeight="1">
      <c r="A23" s="100" t="e">
        <f>IF(#REF!&gt;3,#REF!-2,IF(#REF!=0,0.2,#REF!)/3*IF(#REF!&gt;3,#REF!-2,IF(#REF!=0,0.2,#REF!))+IF(#REF!&gt;3,#REF!-2,IF(#REF!=0,0.2,#REF!))/3*IF(#REF!&gt;3,#REF!-2,IF(#REF!=0,0.2,#REF!)))</f>
        <v>#REF!</v>
      </c>
      <c r="B23" s="100" t="e">
        <f>IF(#REF!&gt;3,#REF!-2,IF(#REF!=0,0.2,#REF!)/3*IF(#REF!&gt;3,#REF!-2,IF(#REF!=0,0.2,#REF!))+IF(#REF!&gt;3,#REF!-2,IF(#REF!=0,0.2,#REF!))/3*IF(#REF!&gt;3,#REF!-2,IF(#REF!=0,0.2,#REF!)))</f>
        <v>#REF!</v>
      </c>
      <c r="C23" s="100" t="e">
        <f>IF(#REF!&gt;3,#REF!-2,IF(#REF!=0,0.2,#REF!)/3*IF(#REF!&gt;3,#REF!-2,IF(#REF!=0,0.2,#REF!))+IF(#REF!&gt;3,#REF!-2,IF(#REF!=0,0.2,#REF!))/3*IF(#REF!&gt;3,#REF!-2,IF(#REF!=0,0.2,#REF!)))</f>
        <v>#REF!</v>
      </c>
      <c r="D23" s="100" t="e">
        <f>IF(#REF!&gt;3,#REF!-2,IF(#REF!=0,0.2,#REF!)/3*IF(#REF!&gt;3,#REF!-2,IF(#REF!=0,0.2,#REF!))+IF(#REF!&gt;3,#REF!-2,IF(#REF!=0,0.2,#REF!))/3*IF(#REF!&gt;3,#REF!-2,IF(#REF!=0,0.2,#REF!)))</f>
        <v>#REF!</v>
      </c>
      <c r="E23" s="100" t="e">
        <f>IF(#REF!&gt;3,#REF!-2,IF(#REF!=0,0.2,#REF!)/3*IF(#REF!&gt;3,#REF!-2,IF(#REF!=0,0.2,#REF!))+IF(#REF!&gt;3,#REF!-2,IF(#REF!=0,0.2,#REF!))/3*IF(#REF!&gt;3,#REF!-2,IF(#REF!=0,0.2,#REF!)))</f>
        <v>#REF!</v>
      </c>
      <c r="F23" s="100" t="e">
        <f>IF(#REF!&gt;3,#REF!-2,IF(#REF!=0,0.2,#REF!)/3*IF(#REF!&gt;3,#REF!-2,IF(#REF!=0,0.2,#REF!))+IF(#REF!&gt;3,#REF!-2,IF(#REF!=0,0.2,#REF!))/3*IF(#REF!&gt;3,#REF!-2,IF(#REF!=0,0.2,#REF!)))</f>
        <v>#REF!</v>
      </c>
      <c r="G23" s="100" t="e">
        <f>IF(#REF!&gt;3,#REF!-2,IF(#REF!=0,0.2,#REF!)/3*IF(#REF!&gt;3,#REF!-2,IF(#REF!=0,0.2,#REF!))+IF(#REF!&gt;3,#REF!-2,IF(#REF!=0,0.2,#REF!))/3*IF(#REF!&gt;3,#REF!-2,IF(#REF!=0,0.2,#REF!)))</f>
        <v>#REF!</v>
      </c>
    </row>
    <row r="24" spans="1:7" ht="15" customHeight="1">
      <c r="A24" s="100" t="e">
        <f>IF(#REF!&gt;3,#REF!-2,IF(#REF!=0,0.2,#REF!)/3*IF(#REF!&gt;3,#REF!-2,IF(#REF!=0,0.2,#REF!))+IF(#REF!&gt;3,#REF!-2,IF(#REF!=0,0.2,#REF!))/3*IF(#REF!&gt;3,#REF!-2,IF(#REF!=0,0.2,#REF!)))</f>
        <v>#REF!</v>
      </c>
      <c r="B24" s="100" t="e">
        <f>IF(#REF!&gt;3,#REF!-2,IF(#REF!=0,0.2,#REF!)/3*IF(#REF!&gt;3,#REF!-2,IF(#REF!=0,0.2,#REF!))+IF(#REF!&gt;3,#REF!-2,IF(#REF!=0,0.2,#REF!))/3*IF(#REF!&gt;3,#REF!-2,IF(#REF!=0,0.2,#REF!)))</f>
        <v>#REF!</v>
      </c>
      <c r="C24" s="100" t="e">
        <f>IF(#REF!&gt;3,#REF!-2,IF(#REF!=0,0.2,#REF!)/3*IF(#REF!&gt;3,#REF!-2,IF(#REF!=0,0.2,#REF!))+IF(#REF!&gt;3,#REF!-2,IF(#REF!=0,0.2,#REF!))/3*IF(#REF!&gt;3,#REF!-2,IF(#REF!=0,0.2,#REF!)))</f>
        <v>#REF!</v>
      </c>
      <c r="D24" s="100" t="e">
        <f>IF(#REF!&gt;3,#REF!-2,IF(#REF!=0,0.2,#REF!)/3*IF(#REF!&gt;3,#REF!-2,IF(#REF!=0,0.2,#REF!))+IF(#REF!&gt;3,#REF!-2,IF(#REF!=0,0.2,#REF!))/3*IF(#REF!&gt;3,#REF!-2,IF(#REF!=0,0.2,#REF!)))</f>
        <v>#REF!</v>
      </c>
      <c r="E24" s="100" t="e">
        <f>IF(#REF!&gt;3,#REF!-2,IF(#REF!=0,0.2,#REF!)/3*IF(#REF!&gt;3,#REF!-2,IF(#REF!=0,0.2,#REF!))+IF(#REF!&gt;3,#REF!-2,IF(#REF!=0,0.2,#REF!))/3*IF(#REF!&gt;3,#REF!-2,IF(#REF!=0,0.2,#REF!)))</f>
        <v>#REF!</v>
      </c>
      <c r="F24" s="100" t="e">
        <f>IF(#REF!&gt;3,#REF!-2,IF(#REF!=0,0.2,#REF!)/3*IF(#REF!&gt;3,#REF!-2,IF(#REF!=0,0.2,#REF!))+IF(#REF!&gt;3,#REF!-2,IF(#REF!=0,0.2,#REF!))/3*IF(#REF!&gt;3,#REF!-2,IF(#REF!=0,0.2,#REF!)))</f>
        <v>#REF!</v>
      </c>
      <c r="G24" s="100" t="e">
        <f>IF(#REF!&gt;3,#REF!-2,IF(#REF!=0,0.2,#REF!)/3*IF(#REF!&gt;3,#REF!-2,IF(#REF!=0,0.2,#REF!))+IF(#REF!&gt;3,#REF!-2,IF(#REF!=0,0.2,#REF!))/3*IF(#REF!&gt;3,#REF!-2,IF(#REF!=0,0.2,#REF!)))</f>
        <v>#REF!</v>
      </c>
    </row>
    <row r="25" spans="1:7" ht="15" customHeight="1">
      <c r="A25" s="100" t="e">
        <f>IF(#REF!&gt;3,#REF!-2,IF(#REF!=0,0.2,#REF!)/3*IF(#REF!&gt;3,#REF!-2,IF(#REF!=0,0.2,#REF!))+IF(#REF!&gt;3,#REF!-2,IF(#REF!=0,0.2,#REF!))/3*IF(#REF!&gt;3,#REF!-2,IF(#REF!=0,0.2,#REF!)))</f>
        <v>#REF!</v>
      </c>
      <c r="B25" s="100" t="e">
        <f>IF(#REF!&gt;3,#REF!-2,IF(#REF!=0,0.2,#REF!)/3*IF(#REF!&gt;3,#REF!-2,IF(#REF!=0,0.2,#REF!))+IF(#REF!&gt;3,#REF!-2,IF(#REF!=0,0.2,#REF!))/3*IF(#REF!&gt;3,#REF!-2,IF(#REF!=0,0.2,#REF!)))</f>
        <v>#REF!</v>
      </c>
      <c r="C25" s="100" t="e">
        <f>IF(#REF!&gt;3,#REF!-2,IF(#REF!=0,0.2,#REF!)/3*IF(#REF!&gt;3,#REF!-2,IF(#REF!=0,0.2,#REF!))+IF(#REF!&gt;3,#REF!-2,IF(#REF!=0,0.2,#REF!))/3*IF(#REF!&gt;3,#REF!-2,IF(#REF!=0,0.2,#REF!)))</f>
        <v>#REF!</v>
      </c>
      <c r="D25" s="100" t="e">
        <f>IF(#REF!&gt;3,#REF!-2,IF(#REF!=0,0.2,#REF!)/3*IF(#REF!&gt;3,#REF!-2,IF(#REF!=0,0.2,#REF!))+IF(#REF!&gt;3,#REF!-2,IF(#REF!=0,0.2,#REF!))/3*IF(#REF!&gt;3,#REF!-2,IF(#REF!=0,0.2,#REF!)))</f>
        <v>#REF!</v>
      </c>
      <c r="E25" s="100" t="e">
        <f>IF(#REF!&gt;3,#REF!-2,IF(#REF!=0,0.2,#REF!)/3*IF(#REF!&gt;3,#REF!-2,IF(#REF!=0,0.2,#REF!))+IF(#REF!&gt;3,#REF!-2,IF(#REF!=0,0.2,#REF!))/3*IF(#REF!&gt;3,#REF!-2,IF(#REF!=0,0.2,#REF!)))</f>
        <v>#REF!</v>
      </c>
      <c r="F25" s="100" t="e">
        <f>IF(#REF!&gt;3,#REF!-2,IF(#REF!=0,0.2,#REF!)/3*IF(#REF!&gt;3,#REF!-2,IF(#REF!=0,0.2,#REF!))+IF(#REF!&gt;3,#REF!-2,IF(#REF!=0,0.2,#REF!))/3*IF(#REF!&gt;3,#REF!-2,IF(#REF!=0,0.2,#REF!)))</f>
        <v>#REF!</v>
      </c>
      <c r="G25" s="100" t="e">
        <f>IF(#REF!&gt;3,#REF!-2,IF(#REF!=0,0.2,#REF!)/3*IF(#REF!&gt;3,#REF!-2,IF(#REF!=0,0.2,#REF!))+IF(#REF!&gt;3,#REF!-2,IF(#REF!=0,0.2,#REF!))/3*IF(#REF!&gt;3,#REF!-2,IF(#REF!=0,0.2,#REF!)))</f>
        <v>#REF!</v>
      </c>
    </row>
    <row r="26" spans="1:7" ht="15" customHeight="1">
      <c r="A26" s="100" t="e">
        <f>IF(#REF!&gt;3,#REF!-2,IF(#REF!=0,0.2,#REF!)/3*IF(#REF!&gt;3,#REF!-2,IF(#REF!=0,0.2,#REF!))+IF(#REF!&gt;3,#REF!-2,IF(#REF!=0,0.2,#REF!))/3*IF(#REF!&gt;3,#REF!-2,IF(#REF!=0,0.2,#REF!)))</f>
        <v>#REF!</v>
      </c>
      <c r="B26" s="100" t="e">
        <f>IF(#REF!&gt;3,#REF!-2,IF(#REF!=0,0.2,#REF!)/3*IF(#REF!&gt;3,#REF!-2,IF(#REF!=0,0.2,#REF!))+IF(#REF!&gt;3,#REF!-2,IF(#REF!=0,0.2,#REF!))/3*IF(#REF!&gt;3,#REF!-2,IF(#REF!=0,0.2,#REF!)))</f>
        <v>#REF!</v>
      </c>
      <c r="C26" s="100" t="e">
        <f>IF(#REF!&gt;3,#REF!-2,IF(#REF!=0,0.2,#REF!)/3*IF(#REF!&gt;3,#REF!-2,IF(#REF!=0,0.2,#REF!))+IF(#REF!&gt;3,#REF!-2,IF(#REF!=0,0.2,#REF!))/3*IF(#REF!&gt;3,#REF!-2,IF(#REF!=0,0.2,#REF!)))</f>
        <v>#REF!</v>
      </c>
      <c r="D26" s="100" t="e">
        <f>IF(#REF!&gt;3,#REF!-2,IF(#REF!=0,0.2,#REF!)/3*IF(#REF!&gt;3,#REF!-2,IF(#REF!=0,0.2,#REF!))+IF(#REF!&gt;3,#REF!-2,IF(#REF!=0,0.2,#REF!))/3*IF(#REF!&gt;3,#REF!-2,IF(#REF!=0,0.2,#REF!)))</f>
        <v>#REF!</v>
      </c>
      <c r="E26" s="100" t="e">
        <f>IF(#REF!&gt;3,#REF!-2,IF(#REF!=0,0.2,#REF!)/3*IF(#REF!&gt;3,#REF!-2,IF(#REF!=0,0.2,#REF!))+IF(#REF!&gt;3,#REF!-2,IF(#REF!=0,0.2,#REF!))/3*IF(#REF!&gt;3,#REF!-2,IF(#REF!=0,0.2,#REF!)))</f>
        <v>#REF!</v>
      </c>
      <c r="F26" s="100" t="e">
        <f>IF(#REF!&gt;3,#REF!-2,IF(#REF!=0,0.2,#REF!)/3*IF(#REF!&gt;3,#REF!-2,IF(#REF!=0,0.2,#REF!))+IF(#REF!&gt;3,#REF!-2,IF(#REF!=0,0.2,#REF!))/3*IF(#REF!&gt;3,#REF!-2,IF(#REF!=0,0.2,#REF!)))</f>
        <v>#REF!</v>
      </c>
      <c r="G26" s="100" t="e">
        <f>IF(#REF!&gt;3,#REF!-2,IF(#REF!=0,0.2,#REF!)/3*IF(#REF!&gt;3,#REF!-2,IF(#REF!=0,0.2,#REF!))+IF(#REF!&gt;3,#REF!-2,IF(#REF!=0,0.2,#REF!))/3*IF(#REF!&gt;3,#REF!-2,IF(#REF!=0,0.2,#REF!)))</f>
        <v>#REF!</v>
      </c>
    </row>
    <row r="27" spans="1:7" ht="15" customHeight="1">
      <c r="A27" s="100" t="e">
        <f>IF(#REF!&gt;3,#REF!-2,IF(#REF!=0,0.2,#REF!)/3*IF(#REF!&gt;3,#REF!-2,IF(#REF!=0,0.2,#REF!))+IF(#REF!&gt;3,#REF!-2,IF(#REF!=0,0.2,#REF!))/3*IF(#REF!&gt;3,#REF!-2,IF(#REF!=0,0.2,#REF!)))</f>
        <v>#REF!</v>
      </c>
      <c r="B27" s="100" t="e">
        <f>IF(#REF!&gt;3,#REF!-2,IF(#REF!=0,0.2,#REF!)/3*IF(#REF!&gt;3,#REF!-2,IF(#REF!=0,0.2,#REF!))+IF(#REF!&gt;3,#REF!-2,IF(#REF!=0,0.2,#REF!))/3*IF(#REF!&gt;3,#REF!-2,IF(#REF!=0,0.2,#REF!)))</f>
        <v>#REF!</v>
      </c>
      <c r="C27" s="100" t="e">
        <f>IF(#REF!&gt;3,#REF!-2,IF(#REF!=0,0.2,#REF!)/3*IF(#REF!&gt;3,#REF!-2,IF(#REF!=0,0.2,#REF!))+IF(#REF!&gt;3,#REF!-2,IF(#REF!=0,0.2,#REF!))/3*IF(#REF!&gt;3,#REF!-2,IF(#REF!=0,0.2,#REF!)))</f>
        <v>#REF!</v>
      </c>
      <c r="D27" s="100" t="e">
        <f>IF(#REF!&gt;3,#REF!-2,IF(#REF!=0,0.2,#REF!)/3*IF(#REF!&gt;3,#REF!-2,IF(#REF!=0,0.2,#REF!))+IF(#REF!&gt;3,#REF!-2,IF(#REF!=0,0.2,#REF!))/3*IF(#REF!&gt;3,#REF!-2,IF(#REF!=0,0.2,#REF!)))</f>
        <v>#REF!</v>
      </c>
      <c r="E27" s="100" t="e">
        <f>IF(#REF!&gt;3,#REF!-2,IF(#REF!=0,0.2,#REF!)/3*IF(#REF!&gt;3,#REF!-2,IF(#REF!=0,0.2,#REF!))+IF(#REF!&gt;3,#REF!-2,IF(#REF!=0,0.2,#REF!))/3*IF(#REF!&gt;3,#REF!-2,IF(#REF!=0,0.2,#REF!)))</f>
        <v>#REF!</v>
      </c>
      <c r="F27" s="100" t="e">
        <f>IF(#REF!&gt;3,#REF!-2,IF(#REF!=0,0.2,#REF!)/3*IF(#REF!&gt;3,#REF!-2,IF(#REF!=0,0.2,#REF!))+IF(#REF!&gt;3,#REF!-2,IF(#REF!=0,0.2,#REF!))/3*IF(#REF!&gt;3,#REF!-2,IF(#REF!=0,0.2,#REF!)))</f>
        <v>#REF!</v>
      </c>
      <c r="G27" s="100" t="e">
        <f>IF(#REF!&gt;3,#REF!-2,IF(#REF!=0,0.2,#REF!)/3*IF(#REF!&gt;3,#REF!-2,IF(#REF!=0,0.2,#REF!))+IF(#REF!&gt;3,#REF!-2,IF(#REF!=0,0.2,#REF!))/3*IF(#REF!&gt;3,#REF!-2,IF(#REF!=0,0.2,#REF!)))</f>
        <v>#REF!</v>
      </c>
    </row>
    <row r="28" spans="1:7" ht="15" customHeight="1">
      <c r="A28" s="100" t="e">
        <f>IF(#REF!&gt;3,#REF!-2,IF(#REF!=0,0.2,#REF!)/3*IF(#REF!&gt;3,#REF!-2,IF(#REF!=0,0.2,#REF!))+IF(#REF!&gt;3,#REF!-2,IF(#REF!=0,0.2,#REF!))/3*IF(#REF!&gt;3,#REF!-2,IF(#REF!=0,0.2,#REF!)))</f>
        <v>#REF!</v>
      </c>
      <c r="B28" s="100" t="e">
        <f>IF(#REF!&gt;3,#REF!-2,IF(#REF!=0,0.2,#REF!)/3*IF(#REF!&gt;3,#REF!-2,IF(#REF!=0,0.2,#REF!))+IF(#REF!&gt;3,#REF!-2,IF(#REF!=0,0.2,#REF!))/3*IF(#REF!&gt;3,#REF!-2,IF(#REF!=0,0.2,#REF!)))</f>
        <v>#REF!</v>
      </c>
      <c r="C28" s="100" t="e">
        <f>IF(#REF!&gt;3,#REF!-2,IF(#REF!=0,0.2,#REF!)/3*IF(#REF!&gt;3,#REF!-2,IF(#REF!=0,0.2,#REF!))+IF(#REF!&gt;3,#REF!-2,IF(#REF!=0,0.2,#REF!))/3*IF(#REF!&gt;3,#REF!-2,IF(#REF!=0,0.2,#REF!)))</f>
        <v>#REF!</v>
      </c>
      <c r="D28" s="100" t="e">
        <f>IF(#REF!&gt;3,#REF!-2,IF(#REF!=0,0.2,#REF!)/3*IF(#REF!&gt;3,#REF!-2,IF(#REF!=0,0.2,#REF!))+IF(#REF!&gt;3,#REF!-2,IF(#REF!=0,0.2,#REF!))/3*IF(#REF!&gt;3,#REF!-2,IF(#REF!=0,0.2,#REF!)))</f>
        <v>#REF!</v>
      </c>
      <c r="E28" s="100" t="e">
        <f>IF(#REF!&gt;3,#REF!-2,IF(#REF!=0,0.2,#REF!)/3*IF(#REF!&gt;3,#REF!-2,IF(#REF!=0,0.2,#REF!))+IF(#REF!&gt;3,#REF!-2,IF(#REF!=0,0.2,#REF!))/3*IF(#REF!&gt;3,#REF!-2,IF(#REF!=0,0.2,#REF!)))</f>
        <v>#REF!</v>
      </c>
      <c r="F28" s="100" t="e">
        <f>IF(#REF!&gt;3,#REF!-2,IF(#REF!=0,0.2,#REF!)/3*IF(#REF!&gt;3,#REF!-2,IF(#REF!=0,0.2,#REF!))+IF(#REF!&gt;3,#REF!-2,IF(#REF!=0,0.2,#REF!))/3*IF(#REF!&gt;3,#REF!-2,IF(#REF!=0,0.2,#REF!)))</f>
        <v>#REF!</v>
      </c>
      <c r="G28" s="100" t="e">
        <f>IF(#REF!&gt;3,#REF!-2,IF(#REF!=0,0.2,#REF!)/3*IF(#REF!&gt;3,#REF!-2,IF(#REF!=0,0.2,#REF!))+IF(#REF!&gt;3,#REF!-2,IF(#REF!=0,0.2,#REF!))/3*IF(#REF!&gt;3,#REF!-2,IF(#REF!=0,0.2,#REF!)))</f>
        <v>#REF!</v>
      </c>
    </row>
    <row r="29" spans="1:7" ht="15" customHeight="1">
      <c r="A29" s="100" t="e">
        <f>IF(#REF!&gt;3,#REF!-2,IF(#REF!=0,0.2,#REF!)/3*IF(#REF!&gt;3,#REF!-2,IF(#REF!=0,0.2,#REF!))+IF(#REF!&gt;3,#REF!-2,IF(#REF!=0,0.2,#REF!))/3*IF(#REF!&gt;3,#REF!-2,IF(#REF!=0,0.2,#REF!)))</f>
        <v>#REF!</v>
      </c>
      <c r="B29" s="100" t="e">
        <f>IF(#REF!&gt;3,#REF!-2,IF(#REF!=0,0.2,#REF!)/3*IF(#REF!&gt;3,#REF!-2,IF(#REF!=0,0.2,#REF!))+IF(#REF!&gt;3,#REF!-2,IF(#REF!=0,0.2,#REF!))/3*IF(#REF!&gt;3,#REF!-2,IF(#REF!=0,0.2,#REF!)))</f>
        <v>#REF!</v>
      </c>
      <c r="C29" s="100"/>
      <c r="D29" s="100" t="e">
        <f>IF(#REF!&gt;3,#REF!-2,IF(#REF!=0,0.2,#REF!)/3*IF(#REF!&gt;3,#REF!-2,IF(#REF!=0,0.2,#REF!))+IF(#REF!&gt;3,#REF!-2,IF(#REF!=0,0.2,#REF!))/3*IF(#REF!&gt;3,#REF!-2,IF(#REF!=0,0.2,#REF!)))</f>
        <v>#REF!</v>
      </c>
    </row>
    <row r="30" spans="1:7" ht="15" customHeight="1">
      <c r="A30" s="100"/>
      <c r="C30" s="100"/>
    </row>
    <row r="31" spans="1:7" ht="15" customHeight="1">
      <c r="A31" s="100"/>
    </row>
    <row r="32" spans="1:7" ht="13.5" customHeight="1">
      <c r="A32" s="100"/>
    </row>
    <row r="33" spans="1:7" ht="14.25" customHeight="1">
      <c r="A33" s="100"/>
      <c r="G33" s="120">
        <f>COUNTIF(A1:G29,"&lt;2,5")</f>
        <v>0</v>
      </c>
    </row>
    <row r="34" spans="1:7" ht="13.5" customHeight="1">
      <c r="A34" s="100"/>
    </row>
    <row r="35" spans="1:7" ht="15" customHeight="1">
      <c r="A35" s="10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Даты занятий</vt:lpstr>
      <vt:lpstr>списки групп</vt:lpstr>
      <vt:lpstr>251-БИВ</vt:lpstr>
      <vt:lpstr>252-БИВ</vt:lpstr>
      <vt:lpstr>253-БИВ</vt:lpstr>
      <vt:lpstr>254-БИВ</vt:lpstr>
      <vt:lpstr>255-БИВ</vt:lpstr>
      <vt:lpstr>256-БИВ</vt:lpstr>
      <vt:lpstr>257-БИВ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 MAX 3</dc:creator>
  <dc:description/>
  <cp:lastModifiedBy>Пользователь Windows</cp:lastModifiedBy>
  <cp:revision>50</cp:revision>
  <dcterms:created xsi:type="dcterms:W3CDTF">2019-10-05T02:42:09Z</dcterms:created>
  <dcterms:modified xsi:type="dcterms:W3CDTF">2025-09-23T16:02:34Z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0x0101006C93F93F8E4416429BFC95989228B7D5</vt:lpwstr>
  </property>
</Properties>
</file>