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so\Documents\Study-data\Exams\Semester 2\Physics\VPV\"/>
    </mc:Choice>
  </mc:AlternateContent>
  <xr:revisionPtr revIDLastSave="0" documentId="13_ncr:1_{0259C0A7-4F4F-4AB8-815D-635A73D19F4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Оборудование" sheetId="1" r:id="rId1"/>
    <sheet name="Кружка" sheetId="2" r:id="rId2"/>
    <sheet name="Кувши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8" i="2"/>
  <c r="I9" i="2"/>
  <c r="I10" i="2"/>
  <c r="I11" i="2"/>
  <c r="I8" i="2"/>
  <c r="E8" i="2"/>
  <c r="D8" i="2"/>
  <c r="I2" i="2"/>
  <c r="E6" i="3"/>
  <c r="D6" i="3"/>
  <c r="E5" i="3"/>
  <c r="D5" i="3"/>
  <c r="E4" i="3"/>
  <c r="D4" i="3"/>
  <c r="E3" i="3"/>
  <c r="D3" i="3"/>
  <c r="E2" i="3"/>
  <c r="D2" i="3"/>
  <c r="E2" i="2"/>
  <c r="D2" i="2"/>
  <c r="D6" i="1"/>
  <c r="E6" i="1" s="1"/>
  <c r="D5" i="1"/>
  <c r="E5" i="1" s="1"/>
  <c r="D4" i="1"/>
  <c r="E4" i="1" s="1"/>
  <c r="D3" i="1"/>
  <c r="E3" i="1" s="1"/>
  <c r="D2" i="1"/>
  <c r="E2" i="1" s="1"/>
  <c r="F2" i="1" s="1"/>
  <c r="F3" i="1" l="1"/>
</calcChain>
</file>

<file path=xl/sharedStrings.xml><?xml version="1.0" encoding="utf-8"?>
<sst xmlns="http://schemas.openxmlformats.org/spreadsheetml/2006/main" count="33" uniqueCount="21">
  <si>
    <t>Радиус капли</t>
  </si>
  <si>
    <t>Vшпр, мл</t>
  </si>
  <si>
    <t>N</t>
  </si>
  <si>
    <t>V1, мл</t>
  </si>
  <si>
    <t>r1, см</t>
  </si>
  <si>
    <t>rср, мм</t>
  </si>
  <si>
    <t>Линейка</t>
  </si>
  <si>
    <r>
      <rPr>
        <sz val="10"/>
        <color theme="1"/>
        <rFont val="Calibri"/>
        <family val="2"/>
      </rPr>
      <t>σ</t>
    </r>
    <r>
      <rPr>
        <sz val="10"/>
        <color theme="1"/>
        <rFont val="Liberation Sans"/>
      </rPr>
      <t>h, см</t>
    </r>
  </si>
  <si>
    <t>h1, см</t>
  </si>
  <si>
    <t>h2, см</t>
  </si>
  <si>
    <t>h, см</t>
  </si>
  <si>
    <t>Быстро</t>
  </si>
  <si>
    <t>Rугл, мм</t>
  </si>
  <si>
    <t>R, мм</t>
  </si>
  <si>
    <t>l, мм</t>
  </si>
  <si>
    <t>Фотошоп</t>
  </si>
  <si>
    <r>
      <rPr>
        <sz val="10"/>
        <color theme="1"/>
        <rFont val="Calibri"/>
        <family val="2"/>
      </rPr>
      <t>σ</t>
    </r>
    <r>
      <rPr>
        <sz val="10"/>
        <color theme="1"/>
        <rFont val="Liberation Sans"/>
      </rPr>
      <t>h, мм</t>
    </r>
  </si>
  <si>
    <t>dc, мм</t>
  </si>
  <si>
    <r>
      <rPr>
        <sz val="10"/>
        <color theme="1"/>
        <rFont val="Calibri"/>
        <family val="2"/>
      </rPr>
      <t>σR</t>
    </r>
    <r>
      <rPr>
        <sz val="10"/>
        <color theme="1"/>
        <rFont val="Liberation Sans"/>
      </rPr>
      <t>, мм</t>
    </r>
  </si>
  <si>
    <t>rc, мм</t>
  </si>
  <si>
    <t>lrc, мм^2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</si>
</sst>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ans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FD095"/>
        <bgColor rgb="FFAFD095"/>
      </patternFill>
    </fill>
    <fill>
      <patternFill patternType="solid">
        <fgColor rgb="FFFF6D6D"/>
        <bgColor rgb="FFFF6D6D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11">
    <xf numFmtId="0" fontId="0" fillId="0" borderId="0" xfId="0"/>
    <xf numFmtId="0" fontId="1" fillId="0" borderId="0" xfId="11"/>
    <xf numFmtId="164" fontId="0" fillId="0" borderId="0" xfId="11" applyNumberFormat="1" applyFont="1"/>
    <xf numFmtId="165" fontId="0" fillId="9" borderId="0" xfId="11" applyNumberFormat="1" applyFont="1" applyFill="1"/>
    <xf numFmtId="165" fontId="0" fillId="10" borderId="0" xfId="11" applyNumberFormat="1" applyFont="1" applyFill="1"/>
    <xf numFmtId="0" fontId="14" fillId="0" borderId="0" xfId="0" applyFont="1"/>
    <xf numFmtId="1" fontId="0" fillId="10" borderId="0" xfId="11" applyNumberFormat="1" applyFont="1" applyFill="1"/>
    <xf numFmtId="166" fontId="0" fillId="0" borderId="0" xfId="0" applyNumberFormat="1"/>
    <xf numFmtId="2" fontId="0" fillId="0" borderId="0" xfId="0" applyNumberFormat="1"/>
    <xf numFmtId="0" fontId="0" fillId="11" borderId="0" xfId="0" applyFill="1"/>
    <xf numFmtId="0" fontId="14" fillId="11" borderId="0" xfId="0" applyFont="1" applyFill="1"/>
  </cellXfs>
  <cellStyles count="20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Default" xfId="11" xr:uid="{00000000-0005-0000-0000-000005000000}"/>
    <cellStyle name="Error" xfId="12" xr:uid="{00000000-0005-0000-0000-000006000000}"/>
    <cellStyle name="Footnote" xfId="13" xr:uid="{00000000-0005-0000-0000-000007000000}"/>
    <cellStyle name="Good" xfId="3" builtinId="26" customBuiltin="1"/>
    <cellStyle name="Heading" xfId="14" xr:uid="{00000000-0005-0000-0000-000009000000}"/>
    <cellStyle name="Heading 1" xfId="1" builtinId="16" customBuiltin="1"/>
    <cellStyle name="Heading 2" xfId="2" builtinId="17" customBuiltin="1"/>
    <cellStyle name="Hyperlink" xfId="15" xr:uid="{00000000-0005-0000-0000-00000C000000}"/>
    <cellStyle name="Neutral" xfId="5" builtinId="28" customBuiltin="1"/>
    <cellStyle name="Normal" xfId="0" builtinId="0" customBuiltin="1"/>
    <cellStyle name="Note" xfId="6" builtinId="10" customBuiltin="1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I1" sqref="I1"/>
    </sheetView>
  </sheetViews>
  <sheetFormatPr defaultRowHeight="13.2"/>
  <cols>
    <col min="1" max="1" width="14" customWidth="1"/>
    <col min="2" max="6" width="11.88671875" customWidth="1"/>
  </cols>
  <sheetData>
    <row r="1" spans="1:12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s="5" t="s">
        <v>7</v>
      </c>
      <c r="K1" t="s">
        <v>15</v>
      </c>
      <c r="L1" s="5" t="s">
        <v>16</v>
      </c>
    </row>
    <row r="2" spans="1:12">
      <c r="A2" s="1"/>
      <c r="B2" s="1">
        <v>2.5</v>
      </c>
      <c r="C2" s="1">
        <v>63</v>
      </c>
      <c r="D2" s="2">
        <f>$B$2/C2</f>
        <v>3.968253968253968E-2</v>
      </c>
      <c r="E2" s="2">
        <f>(0.75*D2/PI())^(1/3)</f>
        <v>0.21159413059191123</v>
      </c>
      <c r="F2" s="3">
        <f>AVERAGE(E2:E6)*10</f>
        <v>2.1366572420687704</v>
      </c>
      <c r="I2" s="6">
        <v>1</v>
      </c>
      <c r="L2" s="6">
        <v>3</v>
      </c>
    </row>
    <row r="3" spans="1:12">
      <c r="A3" s="1"/>
      <c r="B3" s="1"/>
      <c r="C3" s="1">
        <v>60</v>
      </c>
      <c r="D3" s="2">
        <f>$B$2/C3</f>
        <v>4.1666666666666664E-2</v>
      </c>
      <c r="E3" s="2">
        <f>(0.75*D3/PI())^(1/3)</f>
        <v>0.21506350345702488</v>
      </c>
      <c r="F3" s="4">
        <f>_xlfn.STDEV.S(E2:E6)*10</f>
        <v>1.5107503729481546E-2</v>
      </c>
    </row>
    <row r="4" spans="1:12">
      <c r="A4" s="1"/>
      <c r="B4" s="1"/>
      <c r="C4" s="1">
        <v>61</v>
      </c>
      <c r="D4" s="2">
        <f>$B$2/C4</f>
        <v>4.0983606557377046E-2</v>
      </c>
      <c r="E4" s="2">
        <f>(0.75*D4/PI())^(1/3)</f>
        <v>0.21388181200648457</v>
      </c>
      <c r="F4" s="1"/>
    </row>
    <row r="5" spans="1:12">
      <c r="A5" s="1"/>
      <c r="B5" s="1"/>
      <c r="C5" s="1">
        <v>62</v>
      </c>
      <c r="D5" s="2">
        <f>$B$2/C5</f>
        <v>4.0322580645161289E-2</v>
      </c>
      <c r="E5" s="2">
        <f>(0.75*D5/PI())^(1/3)</f>
        <v>0.21272567152193969</v>
      </c>
      <c r="F5" s="1"/>
    </row>
    <row r="6" spans="1:12">
      <c r="A6" s="1"/>
      <c r="B6" s="1"/>
      <c r="C6" s="1">
        <v>60</v>
      </c>
      <c r="D6" s="2">
        <f>$B$2/C6</f>
        <v>4.1666666666666664E-2</v>
      </c>
      <c r="E6" s="2">
        <f>(0.75*D6/PI())^(1/3)</f>
        <v>0.21506350345702488</v>
      </c>
      <c r="F6" s="1"/>
    </row>
  </sheetData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J8" sqref="J8:J11"/>
    </sheetView>
  </sheetViews>
  <sheetFormatPr defaultRowHeight="13.2"/>
  <cols>
    <col min="6" max="6" width="10" bestFit="1" customWidth="1"/>
    <col min="7" max="7" width="8.33203125" bestFit="1" customWidth="1"/>
    <col min="9" max="9" width="10.44140625" bestFit="1" customWidth="1"/>
  </cols>
  <sheetData>
    <row r="1" spans="1:10" ht="13.8">
      <c r="B1" s="9" t="s">
        <v>8</v>
      </c>
      <c r="C1" s="9" t="s">
        <v>9</v>
      </c>
      <c r="D1" s="9" t="s">
        <v>10</v>
      </c>
      <c r="E1" s="10" t="s">
        <v>7</v>
      </c>
      <c r="F1" s="10" t="s">
        <v>13</v>
      </c>
      <c r="G1" s="10" t="s">
        <v>14</v>
      </c>
      <c r="H1" s="10" t="s">
        <v>17</v>
      </c>
      <c r="I1" s="5" t="s">
        <v>18</v>
      </c>
    </row>
    <row r="2" spans="1:10">
      <c r="A2" t="s">
        <v>11</v>
      </c>
      <c r="B2" s="7">
        <v>45</v>
      </c>
      <c r="C2" s="7">
        <v>4.5</v>
      </c>
      <c r="D2" s="7">
        <f>B2-C2</f>
        <v>40.5</v>
      </c>
      <c r="E2" s="7">
        <f>Оборудование!$I$2</f>
        <v>1</v>
      </c>
      <c r="F2" s="8">
        <v>10.54</v>
      </c>
      <c r="G2" s="8">
        <v>34.299999999999997</v>
      </c>
      <c r="H2" s="8">
        <v>5.32</v>
      </c>
      <c r="I2" s="8">
        <f>STDEV(F2:F5)</f>
        <v>1.0808754168111405</v>
      </c>
    </row>
    <row r="3" spans="1:10">
      <c r="B3" s="7"/>
      <c r="C3" s="7"/>
      <c r="D3" s="7"/>
      <c r="E3" s="7"/>
      <c r="F3" s="8">
        <v>8.77</v>
      </c>
      <c r="G3" s="8">
        <v>26.19</v>
      </c>
      <c r="H3" s="8">
        <v>5.57</v>
      </c>
    </row>
    <row r="4" spans="1:10">
      <c r="B4" s="7"/>
      <c r="C4" s="7"/>
      <c r="D4" s="7"/>
      <c r="E4" s="7"/>
      <c r="F4" s="8">
        <v>8.01</v>
      </c>
      <c r="G4" s="8">
        <v>29.74</v>
      </c>
      <c r="H4" s="8">
        <v>5.32</v>
      </c>
    </row>
    <row r="5" spans="1:10">
      <c r="B5" s="7"/>
      <c r="C5" s="7"/>
      <c r="D5" s="7"/>
      <c r="E5" s="7"/>
      <c r="F5" s="8">
        <v>9.5299999999999994</v>
      </c>
      <c r="G5" s="8">
        <v>26.95</v>
      </c>
      <c r="H5" s="8">
        <v>5.57</v>
      </c>
    </row>
    <row r="6" spans="1:10">
      <c r="B6" s="7"/>
      <c r="C6" s="7"/>
      <c r="D6" s="7"/>
      <c r="E6" s="7"/>
      <c r="F6" s="8"/>
      <c r="G6" s="8"/>
      <c r="H6" s="8"/>
    </row>
    <row r="7" spans="1:10" ht="13.8">
      <c r="B7" s="9" t="s">
        <v>8</v>
      </c>
      <c r="C7" s="9" t="s">
        <v>9</v>
      </c>
      <c r="D7" s="9" t="s">
        <v>10</v>
      </c>
      <c r="E7" s="10" t="s">
        <v>7</v>
      </c>
      <c r="F7" s="10" t="s">
        <v>13</v>
      </c>
      <c r="G7" s="10" t="s">
        <v>14</v>
      </c>
      <c r="H7" s="10" t="s">
        <v>17</v>
      </c>
      <c r="I7" s="10" t="s">
        <v>19</v>
      </c>
      <c r="J7" s="10" t="s">
        <v>20</v>
      </c>
    </row>
    <row r="8" spans="1:10">
      <c r="B8" s="7">
        <v>45</v>
      </c>
      <c r="C8" s="7">
        <v>4.5</v>
      </c>
      <c r="D8" s="7">
        <f>B8-C8</f>
        <v>40.5</v>
      </c>
      <c r="E8" s="7">
        <f>Оборудование!$I$2</f>
        <v>1</v>
      </c>
      <c r="F8" s="8">
        <v>9.36</v>
      </c>
      <c r="G8" s="8">
        <v>33.17</v>
      </c>
      <c r="H8" s="8">
        <v>5.32</v>
      </c>
      <c r="I8">
        <f>H8/2</f>
        <v>2.66</v>
      </c>
      <c r="J8" s="8">
        <f>I8*G8</f>
        <v>88.232200000000006</v>
      </c>
    </row>
    <row r="9" spans="1:10">
      <c r="B9" s="7"/>
      <c r="C9" s="7"/>
      <c r="D9" s="7"/>
      <c r="E9" s="7"/>
      <c r="F9" s="8">
        <v>9.36</v>
      </c>
      <c r="G9" s="8">
        <v>29.62</v>
      </c>
      <c r="H9" s="8">
        <v>5.0599999999999996</v>
      </c>
      <c r="I9">
        <f t="shared" ref="I9:I11" si="0">H9/2</f>
        <v>2.5299999999999998</v>
      </c>
      <c r="J9" s="8">
        <f t="shared" ref="J9:J11" si="1">I9*G9</f>
        <v>74.938599999999994</v>
      </c>
    </row>
    <row r="10" spans="1:10">
      <c r="B10" s="7"/>
      <c r="C10" s="7"/>
      <c r="D10" s="7"/>
      <c r="E10" s="7"/>
      <c r="F10" s="8">
        <v>8.86</v>
      </c>
      <c r="G10" s="8">
        <v>28.11</v>
      </c>
      <c r="H10" s="8">
        <v>5.82</v>
      </c>
      <c r="I10">
        <f t="shared" si="0"/>
        <v>2.91</v>
      </c>
      <c r="J10" s="8">
        <f t="shared" si="1"/>
        <v>81.8001</v>
      </c>
    </row>
    <row r="11" spans="1:10">
      <c r="B11" s="7"/>
      <c r="C11" s="7"/>
      <c r="D11" s="7"/>
      <c r="E11" s="7"/>
      <c r="F11" s="8">
        <v>10.63</v>
      </c>
      <c r="G11" s="8">
        <v>32.119999999999997</v>
      </c>
      <c r="H11" s="8">
        <v>4.8099999999999996</v>
      </c>
      <c r="I11">
        <f t="shared" si="0"/>
        <v>2.4049999999999998</v>
      </c>
      <c r="J11" s="8">
        <f t="shared" si="1"/>
        <v>77.248599999999982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27" sqref="D27"/>
    </sheetView>
  </sheetViews>
  <sheetFormatPr defaultRowHeight="13.2"/>
  <sheetData>
    <row r="1" spans="1:6" ht="13.8">
      <c r="B1" t="s">
        <v>8</v>
      </c>
      <c r="C1" t="s">
        <v>9</v>
      </c>
      <c r="D1" t="s">
        <v>10</v>
      </c>
      <c r="E1" s="5" t="s">
        <v>7</v>
      </c>
      <c r="F1" s="5" t="s">
        <v>12</v>
      </c>
    </row>
    <row r="2" spans="1:6">
      <c r="A2">
        <v>1</v>
      </c>
      <c r="B2" s="7">
        <v>50</v>
      </c>
      <c r="C2" s="7">
        <v>10.199999999999999</v>
      </c>
      <c r="D2" s="7">
        <f t="shared" ref="D2:D6" si="0">B2-C2</f>
        <v>39.799999999999997</v>
      </c>
      <c r="E2" s="7">
        <f>Оборудование!$I$2</f>
        <v>1</v>
      </c>
    </row>
    <row r="3" spans="1:6">
      <c r="A3">
        <v>2</v>
      </c>
      <c r="B3" s="7">
        <v>45</v>
      </c>
      <c r="C3" s="7">
        <v>10.199999999999999</v>
      </c>
      <c r="D3" s="7">
        <f t="shared" si="0"/>
        <v>34.799999999999997</v>
      </c>
      <c r="E3" s="7">
        <f>Оборудование!$I$2</f>
        <v>1</v>
      </c>
    </row>
    <row r="4" spans="1:6">
      <c r="A4">
        <v>3</v>
      </c>
      <c r="B4" s="7">
        <v>40</v>
      </c>
      <c r="C4" s="7">
        <v>10.199999999999999</v>
      </c>
      <c r="D4" s="7">
        <f t="shared" si="0"/>
        <v>29.8</v>
      </c>
      <c r="E4" s="7">
        <f>Оборудование!$I$2</f>
        <v>1</v>
      </c>
    </row>
    <row r="5" spans="1:6">
      <c r="A5">
        <v>4</v>
      </c>
      <c r="B5" s="7">
        <v>35</v>
      </c>
      <c r="C5" s="7">
        <v>10.199999999999999</v>
      </c>
      <c r="D5" s="7">
        <f t="shared" si="0"/>
        <v>24.8</v>
      </c>
      <c r="E5" s="7">
        <f>Оборудование!$I$2</f>
        <v>1</v>
      </c>
    </row>
    <row r="6" spans="1:6">
      <c r="A6">
        <v>5</v>
      </c>
      <c r="B6" s="7">
        <v>30</v>
      </c>
      <c r="C6" s="7">
        <v>10.199999999999999</v>
      </c>
      <c r="D6" s="7">
        <f t="shared" si="0"/>
        <v>19.8</v>
      </c>
      <c r="E6" s="7">
        <f>Оборудование!$I$2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Оборудование</vt:lpstr>
      <vt:lpstr>Кружка</vt:lpstr>
      <vt:lpstr>Кувшин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Solodilov</dc:creator>
  <cp:lastModifiedBy>Misha Solodilov</cp:lastModifiedBy>
  <cp:revision>3</cp:revision>
  <dcterms:created xsi:type="dcterms:W3CDTF">2024-06-12T15:22:14Z</dcterms:created>
  <dcterms:modified xsi:type="dcterms:W3CDTF">2024-06-12T17:15:07Z</dcterms:modified>
</cp:coreProperties>
</file>